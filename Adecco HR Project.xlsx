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9_{5E5FB897-C333-41A4-8F90-081610DC1AA8}" xr6:coauthVersionLast="47" xr6:coauthVersionMax="47" xr10:uidLastSave="{00000000-0000-0000-0000-000000000000}"/>
  <bookViews>
    <workbookView xWindow="-108" yWindow="-108" windowWidth="23256" windowHeight="12456" activeTab="2" xr2:uid="{E534397F-1554-4D24-B2EA-DA329EB68B93}"/>
  </bookViews>
  <sheets>
    <sheet name="Sheet1" sheetId="2" r:id="rId1"/>
    <sheet name="Sheet3" sheetId="4" r:id="rId2"/>
    <sheet name="WA_Fn-UseC_-HR-Employee-Attriti" sheetId="1" r:id="rId3"/>
  </sheets>
  <definedNames>
    <definedName name="_xlnm._FilterDatabase" localSheetId="2" hidden="1">'WA_Fn-UseC_-HR-Employee-Attriti'!$A$1:$AL$1471</definedName>
  </definedNames>
  <calcPr calcId="0"/>
  <pivotCaches>
    <pivotCache cacheId="4" r:id="rId4"/>
    <pivotCache cacheId="16" r:id="rId5"/>
  </pivotCaches>
</workbook>
</file>

<file path=xl/calcChain.xml><?xml version="1.0" encoding="utf-8"?>
<calcChain xmlns="http://schemas.openxmlformats.org/spreadsheetml/2006/main">
  <c r="AO2" i="1" l="1"/>
  <c r="AN2" i="1"/>
  <c r="AM2" i="1"/>
  <c r="AL2" i="1"/>
  <c r="AK2" i="1"/>
  <c r="AJ2" i="1"/>
</calcChain>
</file>

<file path=xl/sharedStrings.xml><?xml version="1.0" encoding="utf-8"?>
<sst xmlns="http://schemas.openxmlformats.org/spreadsheetml/2006/main" count="13289" uniqueCount="72">
  <si>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</si>
  <si>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</si>
  <si>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</si>
  <si>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</si>
  <si>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</si>
  <si>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</si>
  <si>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</si>
  <si>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</si>
  <si>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</si>
  <si>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</si>
  <si>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</si>
  <si>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</si>
  <si>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</si>
  <si>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</si>
  <si>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</si>
  <si>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</si>
  <si>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</si>
  <si>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</si>
  <si>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</si>
  <si>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</si>
  <si>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</si>
  <si>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</si>
  <si>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</si>
  <si>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</si>
  <si>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</si>
  <si>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</si>
  <si>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</si>
  <si>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</si>
  <si>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</si>
  <si>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</si>
  <si>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</si>
  <si>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</si>
  <si>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</si>
  <si>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</si>
  <si>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</si>
  <si>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</si>
  <si>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</si>
  <si>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</si>
  <si>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</si>
  <si>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</si>
  <si>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</si>
  <si>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</si>
  <si>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</si>
  <si>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</si>
  <si>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</si>
  <si>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</si>
  <si>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</si>
  <si>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</si>
  <si>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</si>
  <si>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</si>
  <si>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</si>
  <si>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</si>
  <si>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</si>
  <si>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</si>
  <si>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</si>
  <si>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</si>
  <si>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</si>
  <si>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</si>
  <si>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</si>
  <si>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</si>
  <si>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</si>
  <si>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</si>
  <si>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Total Employee No.</t>
  </si>
  <si>
    <t>Total No. of Employees left</t>
  </si>
  <si>
    <t>Attrition rate</t>
  </si>
  <si>
    <t>Row Labels</t>
  </si>
  <si>
    <t>Grand Total</t>
  </si>
  <si>
    <t>Count of Attrition</t>
  </si>
  <si>
    <t>Average age of employees who left the organization</t>
  </si>
  <si>
    <t>Sum of JobSatisfaction</t>
  </si>
  <si>
    <t>Average Monthly Income of who left the organization</t>
  </si>
  <si>
    <t>Overtime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</si>
</sst>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0" xfId="0" applyBorder="1" applyAlignment="1">
      <alignment horizontal="center" vertical="center"/>
    </xf>
    <xf numFmtId="2" fontId="0" fillId="0" borderId="10" xfId="1" applyNumberFormat="1" applyFon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3.798904050927" createdVersion="8" refreshedVersion="8" minRefreshableVersion="3" recordCount="1470" xr:uid="{FFCCDCB5-A3A6-400D-AD64-E81500351090}">
  <cacheSource type="worksheet">
    <worksheetSource ref="A1:AL1471" sheet="WA_Fn-UseC_-HR-Employee-Attriti"/>
  </cacheSource>
  <cacheFields count="38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Total Employee No." numFmtId="0">
      <sharedItems containsString="0" containsBlank="1" containsNumber="1" containsInteger="1" minValue="1470" maxValue="1470"/>
    </cacheField>
    <cacheField name="Total No. of Employees left" numFmtId="0">
      <sharedItems containsString="0" containsBlank="1" containsNumber="1" containsInteger="1" minValue="237" maxValue="237"/>
    </cacheField>
    <cacheField name="Attrition rate" numFmtId="0">
      <sharedItems containsString="0" containsBlank="1" containsNumber="1" minValue="16.122448979591837" maxValue="16.1224489795918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3.816456712964" createdVersion="8" refreshedVersion="8" minRefreshableVersion="3" recordCount="1470" xr:uid="{DD81163D-DB0B-427C-915C-2AB891AE9626}">
  <cacheSource type="worksheet">
    <worksheetSource ref="A1:AM1471" sheet="WA_Fn-UseC_-HR-Employee-Attriti"/>
  </cacheSource>
  <cacheFields count="39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Total Employee No." numFmtId="0">
      <sharedItems containsString="0" containsBlank="1" containsNumber="1" containsInteger="1" minValue="1470" maxValue="1470"/>
    </cacheField>
    <cacheField name="Total No. of Employees left" numFmtId="0">
      <sharedItems containsString="0" containsBlank="1" containsNumber="1" containsInteger="1" minValue="237" maxValue="237"/>
    </cacheField>
    <cacheField name="Attrition rate" numFmtId="0">
      <sharedItems containsString="0" containsBlank="1" containsNumber="1" minValue="16.122448979591837" maxValue="16.122448979591837"/>
    </cacheField>
    <cacheField name="Average age of employees who left the organization" numFmtId="0">
      <sharedItems containsString="0" containsBlank="1" containsNumber="1" minValue="36.933652530779753" maxValue="36.9336525307797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n v="1470"/>
    <n v="237"/>
    <n v="16.122448979591837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m/>
    <m/>
    <m/>
  </r>
  <r>
    <n v="37"/>
    <x v="0"/>
    <s v="Travel_Rarely"/>
    <n v="1373"/>
    <x v="1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m/>
    <m/>
    <m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m/>
    <m/>
    <m/>
  </r>
  <r>
    <n v="27"/>
    <x v="1"/>
    <s v="Travel_Rarely"/>
    <n v="591"/>
    <x v="1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m/>
    <m/>
    <m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m/>
    <m/>
    <m/>
  </r>
  <r>
    <n v="59"/>
    <x v="1"/>
    <s v="Travel_Rarely"/>
    <n v="1324"/>
    <x v="1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m/>
    <m/>
    <m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m/>
    <m/>
    <m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m/>
    <m/>
    <m/>
  </r>
  <r>
    <n v="36"/>
    <x v="1"/>
    <s v="Travel_Rarely"/>
    <n v="1299"/>
    <x v="1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m/>
    <m/>
    <m/>
  </r>
  <r>
    <n v="35"/>
    <x v="1"/>
    <s v="Travel_Rarely"/>
    <n v="809"/>
    <x v="1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m/>
    <m/>
    <m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m/>
    <m/>
    <m/>
  </r>
  <r>
    <n v="31"/>
    <x v="1"/>
    <s v="Travel_Rarely"/>
    <n v="670"/>
    <x v="1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m/>
    <m/>
    <m/>
  </r>
  <r>
    <n v="34"/>
    <x v="1"/>
    <s v="Travel_Rarely"/>
    <n v="1346"/>
    <x v="1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m/>
    <m/>
    <m/>
  </r>
  <r>
    <n v="28"/>
    <x v="0"/>
    <s v="Travel_Rarely"/>
    <n v="103"/>
    <x v="1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m/>
    <m/>
    <m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m/>
    <m/>
    <m/>
  </r>
  <r>
    <n v="32"/>
    <x v="1"/>
    <s v="Travel_Rarely"/>
    <n v="334"/>
    <x v="1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m/>
    <m/>
    <m/>
  </r>
  <r>
    <n v="22"/>
    <x v="1"/>
    <s v="Non-Travel"/>
    <n v="1123"/>
    <x v="1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m/>
    <m/>
    <m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m/>
    <m/>
    <m/>
  </r>
  <r>
    <n v="38"/>
    <x v="1"/>
    <s v="Travel_Rarely"/>
    <n v="371"/>
    <x v="1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m/>
    <m/>
    <m/>
  </r>
  <r>
    <n v="24"/>
    <x v="1"/>
    <s v="Non-Travel"/>
    <n v="673"/>
    <x v="1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m/>
    <m/>
    <m/>
  </r>
  <r>
    <n v="36"/>
    <x v="0"/>
    <s v="Travel_Rarely"/>
    <n v="1218"/>
    <x v="0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m/>
    <m/>
    <m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m/>
    <m/>
    <m/>
  </r>
  <r>
    <n v="21"/>
    <x v="1"/>
    <s v="Travel_Rarely"/>
    <n v="391"/>
    <x v="1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m/>
    <m/>
    <m/>
  </r>
  <r>
    <n v="34"/>
    <x v="0"/>
    <s v="Travel_Rarely"/>
    <n v="699"/>
    <x v="1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m/>
    <m/>
    <m/>
  </r>
  <r>
    <n v="53"/>
    <x v="1"/>
    <s v="Travel_Rarely"/>
    <n v="1282"/>
    <x v="1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m/>
    <m/>
    <m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m/>
    <m/>
    <m/>
  </r>
  <r>
    <n v="42"/>
    <x v="1"/>
    <s v="Travel_Rarely"/>
    <n v="691"/>
    <x v="0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m/>
    <m/>
    <m/>
  </r>
  <r>
    <n v="44"/>
    <x v="1"/>
    <s v="Travel_Rarely"/>
    <n v="477"/>
    <x v="1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m/>
    <m/>
    <m/>
  </r>
  <r>
    <n v="46"/>
    <x v="1"/>
    <s v="Travel_Rarely"/>
    <n v="705"/>
    <x v="0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m/>
    <m/>
    <m/>
  </r>
  <r>
    <n v="33"/>
    <x v="1"/>
    <s v="Travel_Rarely"/>
    <n v="924"/>
    <x v="1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m/>
    <m/>
    <m/>
  </r>
  <r>
    <n v="44"/>
    <x v="1"/>
    <s v="Travel_Rarely"/>
    <n v="1459"/>
    <x v="1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m/>
    <m/>
    <m/>
  </r>
  <r>
    <n v="30"/>
    <x v="1"/>
    <s v="Travel_Rarely"/>
    <n v="125"/>
    <x v="1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m/>
    <m/>
    <m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m/>
    <m/>
    <m/>
  </r>
  <r>
    <n v="24"/>
    <x v="0"/>
    <s v="Travel_Rarely"/>
    <n v="813"/>
    <x v="1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m/>
    <m/>
    <m/>
  </r>
  <r>
    <n v="43"/>
    <x v="1"/>
    <s v="Travel_Rarely"/>
    <n v="1273"/>
    <x v="1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m/>
    <m/>
    <m/>
  </r>
  <r>
    <n v="50"/>
    <x v="0"/>
    <s v="Travel_Rarely"/>
    <n v="869"/>
    <x v="0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m/>
    <m/>
    <m/>
  </r>
  <r>
    <n v="35"/>
    <x v="1"/>
    <s v="Travel_Rarely"/>
    <n v="890"/>
    <x v="0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m/>
    <m/>
    <m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m/>
    <m/>
    <m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m/>
    <m/>
    <m/>
  </r>
  <r>
    <n v="35"/>
    <x v="1"/>
    <s v="Travel_Rarely"/>
    <n v="464"/>
    <x v="1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m/>
    <m/>
    <m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m/>
    <m/>
    <m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m/>
    <m/>
    <m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m/>
    <m/>
    <m/>
  </r>
  <r>
    <n v="30"/>
    <x v="1"/>
    <s v="Travel_Frequently"/>
    <n v="721"/>
    <x v="1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m/>
    <m/>
    <m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m/>
    <m/>
    <m/>
  </r>
  <r>
    <n v="34"/>
    <x v="1"/>
    <s v="Non-Travel"/>
    <n v="1065"/>
    <x v="0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m/>
    <m/>
    <m/>
  </r>
  <r>
    <n v="37"/>
    <x v="1"/>
    <s v="Travel_Rarely"/>
    <n v="408"/>
    <x v="1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m/>
    <m/>
    <m/>
  </r>
  <r>
    <n v="46"/>
    <x v="1"/>
    <s v="Travel_Frequently"/>
    <n v="1211"/>
    <x v="0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m/>
    <m/>
    <m/>
  </r>
  <r>
    <n v="35"/>
    <x v="1"/>
    <s v="Travel_Rarely"/>
    <n v="1229"/>
    <x v="1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m/>
    <m/>
    <m/>
  </r>
  <r>
    <n v="48"/>
    <x v="0"/>
    <s v="Travel_Rarely"/>
    <n v="626"/>
    <x v="1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m/>
    <m/>
    <m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m/>
    <m/>
    <m/>
  </r>
  <r>
    <n v="44"/>
    <x v="1"/>
    <s v="Travel_Rarely"/>
    <n v="1488"/>
    <x v="0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m/>
    <m/>
    <m/>
  </r>
  <r>
    <n v="35"/>
    <x v="1"/>
    <s v="Non-Travel"/>
    <n v="1097"/>
    <x v="1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m/>
    <m/>
    <m/>
  </r>
  <r>
    <n v="26"/>
    <x v="1"/>
    <s v="Travel_Rarely"/>
    <n v="1443"/>
    <x v="0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m/>
    <m/>
    <m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m/>
    <m/>
    <m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m/>
    <m/>
    <m/>
  </r>
  <r>
    <n v="35"/>
    <x v="1"/>
    <s v="Travel_Rarely"/>
    <n v="1142"/>
    <x v="1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m/>
    <m/>
    <m/>
  </r>
  <r>
    <n v="31"/>
    <x v="1"/>
    <s v="Travel_Rarely"/>
    <n v="655"/>
    <x v="1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m/>
    <m/>
    <m/>
  </r>
  <r>
    <n v="37"/>
    <x v="1"/>
    <s v="Travel_Rarely"/>
    <n v="1115"/>
    <x v="1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m/>
    <m/>
    <m/>
  </r>
  <r>
    <n v="32"/>
    <x v="1"/>
    <s v="Travel_Rarely"/>
    <n v="427"/>
    <x v="1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m/>
    <m/>
    <m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m/>
    <m/>
    <m/>
  </r>
  <r>
    <n v="50"/>
    <x v="1"/>
    <s v="Travel_Rarely"/>
    <n v="989"/>
    <x v="1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m/>
    <m/>
    <m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m/>
    <m/>
    <m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m/>
    <m/>
    <m/>
  </r>
  <r>
    <n v="55"/>
    <x v="1"/>
    <s v="Travel_Rarely"/>
    <n v="836"/>
    <x v="1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m/>
    <m/>
    <m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m/>
    <m/>
    <m/>
  </r>
  <r>
    <n v="45"/>
    <x v="1"/>
    <s v="Travel_Rarely"/>
    <n v="1339"/>
    <x v="1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m/>
    <m/>
    <m/>
  </r>
  <r>
    <n v="35"/>
    <x v="1"/>
    <s v="Travel_Frequently"/>
    <n v="664"/>
    <x v="1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m/>
    <m/>
    <m/>
  </r>
  <r>
    <n v="36"/>
    <x v="0"/>
    <s v="Travel_Rarely"/>
    <n v="318"/>
    <x v="1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m/>
    <m/>
    <m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m/>
    <m/>
    <m/>
  </r>
  <r>
    <n v="29"/>
    <x v="1"/>
    <s v="Travel_Rarely"/>
    <n v="1328"/>
    <x v="1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m/>
    <m/>
    <m/>
  </r>
  <r>
    <n v="31"/>
    <x v="1"/>
    <s v="Travel_Rarely"/>
    <n v="1082"/>
    <x v="1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m/>
    <m/>
    <m/>
  </r>
  <r>
    <n v="32"/>
    <x v="1"/>
    <s v="Travel_Rarely"/>
    <n v="548"/>
    <x v="1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m/>
    <m/>
    <m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m/>
    <m/>
    <m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m/>
    <m/>
    <m/>
  </r>
  <r>
    <n v="35"/>
    <x v="1"/>
    <s v="Travel_Rarely"/>
    <n v="776"/>
    <x v="0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m/>
    <m/>
    <m/>
  </r>
  <r>
    <n v="45"/>
    <x v="1"/>
    <s v="Travel_Rarely"/>
    <n v="193"/>
    <x v="1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m/>
    <m/>
    <m/>
  </r>
  <r>
    <n v="37"/>
    <x v="1"/>
    <s v="Travel_Rarely"/>
    <n v="397"/>
    <x v="1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m/>
    <m/>
    <m/>
  </r>
  <r>
    <n v="46"/>
    <x v="1"/>
    <s v="Travel_Rarely"/>
    <n v="945"/>
    <x v="2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m/>
    <m/>
    <m/>
  </r>
  <r>
    <n v="30"/>
    <x v="1"/>
    <s v="Travel_Rarely"/>
    <n v="852"/>
    <x v="1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m/>
    <m/>
    <m/>
  </r>
  <r>
    <n v="35"/>
    <x v="1"/>
    <s v="Travel_Rarely"/>
    <n v="1214"/>
    <x v="1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m/>
    <m/>
    <m/>
  </r>
  <r>
    <n v="55"/>
    <x v="1"/>
    <s v="Travel_Rarely"/>
    <n v="111"/>
    <x v="0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m/>
    <m/>
    <m/>
  </r>
  <r>
    <n v="38"/>
    <x v="1"/>
    <s v="Non-Travel"/>
    <n v="573"/>
    <x v="1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m/>
    <m/>
    <m/>
  </r>
  <r>
    <n v="34"/>
    <x v="1"/>
    <s v="Travel_Rarely"/>
    <n v="1153"/>
    <x v="1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m/>
    <m/>
    <m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m/>
    <m/>
    <m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m/>
    <m/>
    <m/>
  </r>
  <r>
    <n v="51"/>
    <x v="1"/>
    <s v="Travel_Rarely"/>
    <n v="432"/>
    <x v="1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m/>
    <m/>
    <m/>
  </r>
  <r>
    <n v="30"/>
    <x v="1"/>
    <s v="Travel_Rarely"/>
    <n v="288"/>
    <x v="1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m/>
    <m/>
    <m/>
  </r>
  <r>
    <n v="46"/>
    <x v="0"/>
    <s v="Travel_Rarely"/>
    <n v="669"/>
    <x v="0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m/>
    <m/>
    <m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m/>
    <m/>
    <m/>
  </r>
  <r>
    <n v="51"/>
    <x v="1"/>
    <s v="Travel_Rarely"/>
    <n v="632"/>
    <x v="0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m/>
    <m/>
    <m/>
  </r>
  <r>
    <n v="30"/>
    <x v="1"/>
    <s v="Travel_Rarely"/>
    <n v="1334"/>
    <x v="0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m/>
    <m/>
    <m/>
  </r>
  <r>
    <n v="46"/>
    <x v="1"/>
    <s v="Travel_Frequently"/>
    <n v="638"/>
    <x v="1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m/>
    <m/>
    <m/>
  </r>
  <r>
    <n v="32"/>
    <x v="1"/>
    <s v="Travel_Rarely"/>
    <n v="1093"/>
    <x v="0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m/>
    <m/>
    <m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m/>
    <m/>
    <m/>
  </r>
  <r>
    <n v="24"/>
    <x v="1"/>
    <s v="Travel_Rarely"/>
    <n v="1353"/>
    <x v="0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m/>
    <m/>
    <m/>
  </r>
  <r>
    <n v="28"/>
    <x v="1"/>
    <s v="Non-Travel"/>
    <n v="120"/>
    <x v="0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m/>
    <m/>
    <m/>
  </r>
  <r>
    <n v="58"/>
    <x v="1"/>
    <s v="Travel_Rarely"/>
    <n v="682"/>
    <x v="0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m/>
    <m/>
    <m/>
  </r>
  <r>
    <n v="44"/>
    <x v="1"/>
    <s v="Non-Travel"/>
    <n v="489"/>
    <x v="1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m/>
    <m/>
    <m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m/>
    <m/>
    <m/>
  </r>
  <r>
    <n v="32"/>
    <x v="1"/>
    <s v="Travel_Rarely"/>
    <n v="827"/>
    <x v="1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m/>
    <m/>
    <m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m/>
    <m/>
    <m/>
  </r>
  <r>
    <n v="34"/>
    <x v="1"/>
    <s v="Travel_Rarely"/>
    <n v="665"/>
    <x v="1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m/>
    <m/>
    <m/>
  </r>
  <r>
    <n v="37"/>
    <x v="1"/>
    <s v="Non-Travel"/>
    <n v="1040"/>
    <x v="1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m/>
    <m/>
    <m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m/>
    <m/>
    <m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m/>
    <m/>
    <m/>
  </r>
  <r>
    <n v="25"/>
    <x v="0"/>
    <s v="Travel_Rarely"/>
    <n v="240"/>
    <x v="0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m/>
    <m/>
    <m/>
  </r>
  <r>
    <n v="25"/>
    <x v="1"/>
    <s v="Travel_Rarely"/>
    <n v="1280"/>
    <x v="1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m/>
    <m/>
    <m/>
  </r>
  <r>
    <n v="22"/>
    <x v="1"/>
    <s v="Travel_Rarely"/>
    <n v="534"/>
    <x v="1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m/>
    <m/>
    <m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m/>
    <m/>
    <m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m/>
    <m/>
    <m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m/>
    <m/>
    <m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m/>
    <m/>
    <m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m/>
    <m/>
    <m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m/>
    <m/>
    <m/>
  </r>
  <r>
    <n v="34"/>
    <x v="1"/>
    <s v="Travel_Rarely"/>
    <n v="1354"/>
    <x v="1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m/>
    <m/>
    <m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m/>
    <m/>
    <m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m/>
    <m/>
    <m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m/>
    <m/>
    <m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m/>
    <m/>
    <m/>
  </r>
  <r>
    <n v="33"/>
    <x v="1"/>
    <s v="Non-Travel"/>
    <n v="750"/>
    <x v="0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m/>
    <m/>
    <m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m/>
    <m/>
    <m/>
  </r>
  <r>
    <n v="51"/>
    <x v="1"/>
    <s v="Travel_Rarely"/>
    <n v="684"/>
    <x v="1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m/>
    <m/>
    <m/>
  </r>
  <r>
    <n v="31"/>
    <x v="0"/>
    <s v="Travel_Rarely"/>
    <n v="249"/>
    <x v="0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m/>
    <m/>
    <m/>
  </r>
  <r>
    <n v="26"/>
    <x v="1"/>
    <s v="Travel_Rarely"/>
    <n v="841"/>
    <x v="1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m/>
    <m/>
    <m/>
  </r>
  <r>
    <n v="58"/>
    <x v="0"/>
    <s v="Travel_Rarely"/>
    <n v="147"/>
    <x v="1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m/>
    <m/>
    <m/>
  </r>
  <r>
    <n v="19"/>
    <x v="0"/>
    <s v="Travel_Rarely"/>
    <n v="528"/>
    <x v="0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m/>
    <m/>
    <m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m/>
    <m/>
    <m/>
  </r>
  <r>
    <n v="49"/>
    <x v="1"/>
    <s v="Travel_Rarely"/>
    <n v="470"/>
    <x v="1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m/>
    <m/>
    <m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m/>
    <m/>
    <m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m/>
    <m/>
    <m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m/>
    <m/>
    <m/>
  </r>
  <r>
    <n v="41"/>
    <x v="1"/>
    <s v="Travel_Rarely"/>
    <n v="802"/>
    <x v="0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m/>
    <m/>
    <m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m/>
    <m/>
    <m/>
  </r>
  <r>
    <n v="36"/>
    <x v="1"/>
    <s v="Travel_Rarely"/>
    <n v="216"/>
    <x v="1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m/>
    <m/>
    <m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m/>
    <m/>
    <m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m/>
    <m/>
    <m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m/>
    <m/>
    <m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m/>
    <m/>
    <m/>
  </r>
  <r>
    <n v="32"/>
    <x v="0"/>
    <s v="Travel_Rarely"/>
    <n v="1033"/>
    <x v="1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m/>
    <m/>
    <m/>
  </r>
  <r>
    <n v="45"/>
    <x v="1"/>
    <s v="Travel_Rarely"/>
    <n v="1316"/>
    <x v="1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m/>
    <m/>
    <m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m/>
    <m/>
    <m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m/>
    <m/>
    <m/>
  </r>
  <r>
    <n v="32"/>
    <x v="1"/>
    <s v="Travel_Frequently"/>
    <n v="689"/>
    <x v="0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m/>
    <m/>
    <m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m/>
    <m/>
    <m/>
  </r>
  <r>
    <n v="30"/>
    <x v="1"/>
    <s v="Travel_Rarely"/>
    <n v="1427"/>
    <x v="1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m/>
    <m/>
    <m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m/>
    <m/>
    <m/>
  </r>
  <r>
    <n v="41"/>
    <x v="1"/>
    <s v="Travel_Rarely"/>
    <n v="933"/>
    <x v="1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m/>
    <m/>
    <m/>
  </r>
  <r>
    <n v="19"/>
    <x v="1"/>
    <s v="Travel_Rarely"/>
    <n v="1181"/>
    <x v="1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m/>
    <m/>
    <m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m/>
    <m/>
    <m/>
  </r>
  <r>
    <n v="35"/>
    <x v="1"/>
    <s v="Travel_Rarely"/>
    <n v="662"/>
    <x v="0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m/>
    <m/>
    <m/>
  </r>
  <r>
    <n v="53"/>
    <x v="1"/>
    <s v="Travel_Rarely"/>
    <n v="1436"/>
    <x v="0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m/>
    <m/>
    <m/>
  </r>
  <r>
    <n v="45"/>
    <x v="1"/>
    <s v="Travel_Rarely"/>
    <n v="194"/>
    <x v="1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m/>
    <m/>
    <m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m/>
    <m/>
    <m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m/>
    <m/>
    <m/>
  </r>
  <r>
    <n v="51"/>
    <x v="1"/>
    <s v="Travel_Rarely"/>
    <n v="1169"/>
    <x v="1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m/>
    <m/>
    <m/>
  </r>
  <r>
    <n v="58"/>
    <x v="1"/>
    <s v="Travel_Rarely"/>
    <n v="1145"/>
    <x v="1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m/>
    <m/>
    <m/>
  </r>
  <r>
    <n v="40"/>
    <x v="1"/>
    <s v="Travel_Rarely"/>
    <n v="630"/>
    <x v="0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m/>
    <m/>
    <m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m/>
    <m/>
    <m/>
  </r>
  <r>
    <n v="22"/>
    <x v="1"/>
    <s v="Travel_Rarely"/>
    <n v="1256"/>
    <x v="1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m/>
    <m/>
    <m/>
  </r>
  <r>
    <n v="27"/>
    <x v="1"/>
    <s v="Non-Travel"/>
    <n v="691"/>
    <x v="1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m/>
    <m/>
    <m/>
  </r>
  <r>
    <n v="28"/>
    <x v="1"/>
    <s v="Travel_Rarely"/>
    <n v="440"/>
    <x v="1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m/>
    <m/>
    <m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m/>
    <m/>
    <m/>
  </r>
  <r>
    <n v="27"/>
    <x v="1"/>
    <s v="Non-Travel"/>
    <n v="1450"/>
    <x v="1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m/>
    <m/>
    <m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m/>
    <m/>
    <m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m/>
    <m/>
    <m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m/>
    <m/>
    <m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m/>
    <m/>
    <m/>
  </r>
  <r>
    <n v="32"/>
    <x v="1"/>
    <s v="Travel_Rarely"/>
    <n v="120"/>
    <x v="1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m/>
    <m/>
    <m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m/>
    <m/>
    <m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m/>
    <m/>
    <m/>
  </r>
  <r>
    <n v="36"/>
    <x v="1"/>
    <s v="Travel_Frequently"/>
    <n v="1480"/>
    <x v="1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m/>
    <m/>
    <m/>
  </r>
  <r>
    <n v="30"/>
    <x v="1"/>
    <s v="Non-Travel"/>
    <n v="111"/>
    <x v="1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m/>
    <m/>
    <m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m/>
    <m/>
    <m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m/>
    <m/>
    <m/>
  </r>
  <r>
    <n v="33"/>
    <x v="1"/>
    <s v="Travel_Rarely"/>
    <n v="134"/>
    <x v="1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m/>
    <m/>
    <m/>
  </r>
  <r>
    <n v="19"/>
    <x v="0"/>
    <s v="Travel_Rarely"/>
    <n v="303"/>
    <x v="1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m/>
    <m/>
    <m/>
  </r>
  <r>
    <n v="46"/>
    <x v="1"/>
    <s v="Travel_Rarely"/>
    <n v="526"/>
    <x v="0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m/>
    <m/>
    <m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m/>
    <m/>
    <m/>
  </r>
  <r>
    <n v="31"/>
    <x v="1"/>
    <s v="Travel_Rarely"/>
    <n v="140"/>
    <x v="1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m/>
    <m/>
    <m/>
  </r>
  <r>
    <n v="34"/>
    <x v="1"/>
    <s v="Travel_Rarely"/>
    <n v="629"/>
    <x v="1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m/>
    <m/>
    <m/>
  </r>
  <r>
    <n v="41"/>
    <x v="0"/>
    <s v="Travel_Rarely"/>
    <n v="1356"/>
    <x v="0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m/>
    <m/>
    <m/>
  </r>
  <r>
    <n v="50"/>
    <x v="1"/>
    <s v="Travel_Rarely"/>
    <n v="328"/>
    <x v="1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m/>
    <m/>
    <m/>
  </r>
  <r>
    <n v="53"/>
    <x v="1"/>
    <s v="Travel_Rarely"/>
    <n v="1084"/>
    <x v="1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m/>
    <m/>
    <m/>
  </r>
  <r>
    <n v="33"/>
    <x v="1"/>
    <s v="Travel_Rarely"/>
    <n v="931"/>
    <x v="1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m/>
    <m/>
    <m/>
  </r>
  <r>
    <n v="40"/>
    <x v="1"/>
    <s v="Travel_Rarely"/>
    <n v="989"/>
    <x v="1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m/>
    <m/>
    <m/>
  </r>
  <r>
    <n v="55"/>
    <x v="1"/>
    <s v="Travel_Rarely"/>
    <n v="692"/>
    <x v="1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m/>
    <m/>
    <m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m/>
    <m/>
    <m/>
  </r>
  <r>
    <n v="51"/>
    <x v="1"/>
    <s v="Travel_Rarely"/>
    <n v="313"/>
    <x v="1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m/>
    <m/>
    <m/>
  </r>
  <r>
    <n v="52"/>
    <x v="1"/>
    <s v="Travel_Rarely"/>
    <n v="699"/>
    <x v="1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m/>
    <m/>
    <m/>
  </r>
  <r>
    <n v="27"/>
    <x v="1"/>
    <s v="Travel_Rarely"/>
    <n v="894"/>
    <x v="1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m/>
    <m/>
    <m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m/>
    <m/>
    <m/>
  </r>
  <r>
    <n v="43"/>
    <x v="1"/>
    <s v="Non-Travel"/>
    <n v="1344"/>
    <x v="1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m/>
    <m/>
    <m/>
  </r>
  <r>
    <n v="45"/>
    <x v="1"/>
    <s v="Non-Travel"/>
    <n v="1195"/>
    <x v="1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m/>
    <m/>
    <m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m/>
    <m/>
    <m/>
  </r>
  <r>
    <n v="35"/>
    <x v="1"/>
    <s v="Travel_Frequently"/>
    <n v="138"/>
    <x v="1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m/>
    <m/>
    <m/>
  </r>
  <r>
    <n v="42"/>
    <x v="1"/>
    <s v="Non-Travel"/>
    <n v="926"/>
    <x v="1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m/>
    <m/>
    <m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m/>
    <m/>
    <m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m/>
    <m/>
    <m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m/>
    <m/>
    <m/>
  </r>
  <r>
    <n v="49"/>
    <x v="1"/>
    <s v="Non-Travel"/>
    <n v="1002"/>
    <x v="1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m/>
    <m/>
    <m/>
  </r>
  <r>
    <n v="34"/>
    <x v="1"/>
    <s v="Travel_Frequently"/>
    <n v="878"/>
    <x v="1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m/>
    <m/>
    <m/>
  </r>
  <r>
    <n v="40"/>
    <x v="1"/>
    <s v="Travel_Rarely"/>
    <n v="905"/>
    <x v="1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m/>
    <m/>
    <m/>
  </r>
  <r>
    <n v="38"/>
    <x v="0"/>
    <s v="Travel_Rarely"/>
    <n v="1180"/>
    <x v="1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m/>
    <m/>
    <m/>
  </r>
  <r>
    <n v="29"/>
    <x v="0"/>
    <s v="Travel_Rarely"/>
    <n v="121"/>
    <x v="0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m/>
    <m/>
    <m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m/>
    <m/>
    <m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m/>
    <m/>
    <m/>
  </r>
  <r>
    <n v="40"/>
    <x v="1"/>
    <s v="Non-Travel"/>
    <n v="1151"/>
    <x v="1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m/>
    <m/>
    <m/>
  </r>
  <r>
    <n v="46"/>
    <x v="1"/>
    <s v="Travel_Rarely"/>
    <n v="644"/>
    <x v="1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m/>
    <m/>
    <m/>
  </r>
  <r>
    <n v="32"/>
    <x v="0"/>
    <s v="Travel_Rarely"/>
    <n v="1045"/>
    <x v="0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m/>
    <m/>
    <m/>
  </r>
  <r>
    <n v="30"/>
    <x v="1"/>
    <s v="Non-Travel"/>
    <n v="829"/>
    <x v="1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m/>
    <m/>
    <m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m/>
    <m/>
    <m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m/>
    <m/>
    <m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m/>
    <m/>
    <m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m/>
    <m/>
    <m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m/>
    <m/>
    <m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m/>
    <m/>
    <m/>
  </r>
  <r>
    <n v="45"/>
    <x v="1"/>
    <s v="Non-Travel"/>
    <n v="1052"/>
    <x v="0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m/>
    <m/>
    <m/>
  </r>
  <r>
    <n v="54"/>
    <x v="1"/>
    <s v="Travel_Rarely"/>
    <n v="1147"/>
    <x v="0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m/>
    <m/>
    <m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m/>
    <m/>
    <m/>
  </r>
  <r>
    <n v="33"/>
    <x v="1"/>
    <s v="Travel_Rarely"/>
    <n v="147"/>
    <x v="1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m/>
    <m/>
    <m/>
  </r>
  <r>
    <n v="37"/>
    <x v="1"/>
    <s v="Travel_Frequently"/>
    <n v="663"/>
    <x v="1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m/>
    <m/>
    <m/>
  </r>
  <r>
    <n v="38"/>
    <x v="1"/>
    <s v="Travel_Rarely"/>
    <n v="119"/>
    <x v="0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m/>
    <m/>
    <m/>
  </r>
  <r>
    <n v="31"/>
    <x v="1"/>
    <s v="Non-Travel"/>
    <n v="979"/>
    <x v="1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m/>
    <m/>
    <m/>
  </r>
  <r>
    <n v="59"/>
    <x v="1"/>
    <s v="Travel_Rarely"/>
    <n v="142"/>
    <x v="1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m/>
    <m/>
    <m/>
  </r>
  <r>
    <n v="37"/>
    <x v="1"/>
    <s v="Travel_Frequently"/>
    <n v="319"/>
    <x v="0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m/>
    <m/>
    <m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m/>
    <m/>
    <m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m/>
    <m/>
    <m/>
  </r>
  <r>
    <n v="29"/>
    <x v="0"/>
    <s v="Travel_Rarely"/>
    <n v="896"/>
    <x v="1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m/>
    <m/>
    <m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m/>
    <m/>
    <m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m/>
    <m/>
    <m/>
  </r>
  <r>
    <n v="59"/>
    <x v="1"/>
    <s v="Travel_Rarely"/>
    <n v="818"/>
    <x v="2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m/>
    <m/>
    <m/>
  </r>
  <r>
    <n v="50"/>
    <x v="1"/>
    <s v="Travel_Rarely"/>
    <n v="854"/>
    <x v="0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m/>
    <m/>
    <m/>
  </r>
  <r>
    <n v="33"/>
    <x v="0"/>
    <s v="Travel_Rarely"/>
    <n v="813"/>
    <x v="1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m/>
    <m/>
    <m/>
  </r>
  <r>
    <n v="43"/>
    <x v="1"/>
    <s v="Travel_Rarely"/>
    <n v="1034"/>
    <x v="0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m/>
    <m/>
    <m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m/>
    <m/>
    <m/>
  </r>
  <r>
    <n v="52"/>
    <x v="1"/>
    <s v="Non-Travel"/>
    <n v="771"/>
    <x v="0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m/>
    <m/>
    <m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m/>
    <m/>
    <m/>
  </r>
  <r>
    <n v="32"/>
    <x v="0"/>
    <s v="Travel_Rarely"/>
    <n v="515"/>
    <x v="1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m/>
    <m/>
    <m/>
  </r>
  <r>
    <n v="39"/>
    <x v="1"/>
    <s v="Travel_Rarely"/>
    <n v="1431"/>
    <x v="1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m/>
    <m/>
    <m/>
  </r>
  <r>
    <n v="32"/>
    <x v="1"/>
    <s v="Non-Travel"/>
    <n v="976"/>
    <x v="0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m/>
    <m/>
    <m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m/>
    <m/>
    <m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m/>
    <m/>
    <m/>
  </r>
  <r>
    <n v="45"/>
    <x v="1"/>
    <s v="Travel_Rarely"/>
    <n v="252"/>
    <x v="1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m/>
    <m/>
    <m/>
  </r>
  <r>
    <n v="31"/>
    <x v="1"/>
    <s v="Travel_Frequently"/>
    <n v="1327"/>
    <x v="1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m/>
    <m/>
    <m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m/>
    <m/>
    <m/>
  </r>
  <r>
    <n v="34"/>
    <x v="1"/>
    <s v="Travel_Rarely"/>
    <n v="470"/>
    <x v="1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m/>
    <m/>
    <m/>
  </r>
  <r>
    <n v="37"/>
    <x v="1"/>
    <s v="Travel_Rarely"/>
    <n v="1017"/>
    <x v="1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m/>
    <m/>
    <m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m/>
    <m/>
    <m/>
  </r>
  <r>
    <n v="37"/>
    <x v="0"/>
    <s v="Travel_Frequently"/>
    <n v="504"/>
    <x v="1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m/>
    <m/>
    <m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m/>
    <m/>
    <m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m/>
    <m/>
    <m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m/>
    <m/>
    <m/>
  </r>
  <r>
    <n v="29"/>
    <x v="1"/>
    <s v="Travel_Rarely"/>
    <n v="1247"/>
    <x v="0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m/>
    <m/>
    <m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m/>
    <m/>
    <m/>
  </r>
  <r>
    <n v="42"/>
    <x v="1"/>
    <s v="Travel_Rarely"/>
    <n v="269"/>
    <x v="1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m/>
    <m/>
    <m/>
  </r>
  <r>
    <n v="40"/>
    <x v="1"/>
    <s v="Travel_Rarely"/>
    <n v="1416"/>
    <x v="1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m/>
    <m/>
    <m/>
  </r>
  <r>
    <n v="51"/>
    <x v="1"/>
    <s v="Travel_Rarely"/>
    <n v="833"/>
    <x v="1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m/>
    <m/>
    <m/>
  </r>
  <r>
    <n v="31"/>
    <x v="0"/>
    <s v="Travel_Frequently"/>
    <n v="307"/>
    <x v="1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m/>
    <m/>
    <m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m/>
    <m/>
    <m/>
  </r>
  <r>
    <n v="38"/>
    <x v="1"/>
    <s v="Non-Travel"/>
    <n v="1327"/>
    <x v="0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m/>
    <m/>
    <m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m/>
    <m/>
    <m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m/>
    <m/>
    <m/>
  </r>
  <r>
    <n v="28"/>
    <x v="0"/>
    <s v="Travel_Rarely"/>
    <n v="529"/>
    <x v="1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m/>
    <m/>
    <m/>
  </r>
  <r>
    <n v="29"/>
    <x v="1"/>
    <s v="Travel_Rarely"/>
    <n v="1210"/>
    <x v="0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m/>
    <m/>
    <m/>
  </r>
  <r>
    <n v="31"/>
    <x v="1"/>
    <s v="Travel_Rarely"/>
    <n v="1463"/>
    <x v="1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m/>
    <m/>
    <m/>
  </r>
  <r>
    <n v="25"/>
    <x v="1"/>
    <s v="Non-Travel"/>
    <n v="675"/>
    <x v="1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m/>
    <m/>
    <m/>
  </r>
  <r>
    <n v="45"/>
    <x v="1"/>
    <s v="Travel_Rarely"/>
    <n v="1385"/>
    <x v="1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m/>
    <m/>
    <m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m/>
    <m/>
    <m/>
  </r>
  <r>
    <n v="55"/>
    <x v="1"/>
    <s v="Travel_Rarely"/>
    <n v="452"/>
    <x v="1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m/>
    <m/>
    <m/>
  </r>
  <r>
    <n v="47"/>
    <x v="0"/>
    <s v="Non-Travel"/>
    <n v="666"/>
    <x v="1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m/>
    <m/>
    <m/>
  </r>
  <r>
    <n v="28"/>
    <x v="1"/>
    <s v="Travel_Rarely"/>
    <n v="1158"/>
    <x v="1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m/>
    <m/>
    <m/>
  </r>
  <r>
    <n v="37"/>
    <x v="1"/>
    <s v="Travel_Rarely"/>
    <n v="228"/>
    <x v="0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m/>
    <m/>
    <m/>
  </r>
  <r>
    <n v="21"/>
    <x v="1"/>
    <s v="Travel_Rarely"/>
    <n v="996"/>
    <x v="1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m/>
    <m/>
    <m/>
  </r>
  <r>
    <n v="37"/>
    <x v="1"/>
    <s v="Non-Travel"/>
    <n v="728"/>
    <x v="1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m/>
    <m/>
    <m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m/>
    <m/>
    <m/>
  </r>
  <r>
    <n v="38"/>
    <x v="1"/>
    <s v="Travel_Rarely"/>
    <n v="322"/>
    <x v="0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m/>
    <m/>
    <m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m/>
    <m/>
    <m/>
  </r>
  <r>
    <n v="50"/>
    <x v="1"/>
    <s v="Travel_Rarely"/>
    <n v="797"/>
    <x v="1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m/>
    <m/>
    <m/>
  </r>
  <r>
    <n v="53"/>
    <x v="1"/>
    <s v="Travel_Rarely"/>
    <n v="1070"/>
    <x v="1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m/>
    <m/>
    <m/>
  </r>
  <r>
    <n v="42"/>
    <x v="1"/>
    <s v="Travel_Rarely"/>
    <n v="635"/>
    <x v="0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m/>
    <m/>
    <m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m/>
    <m/>
    <m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m/>
    <m/>
    <m/>
  </r>
  <r>
    <n v="26"/>
    <x v="1"/>
    <s v="Travel_Frequently"/>
    <n v="496"/>
    <x v="1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m/>
    <m/>
    <m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m/>
    <m/>
    <m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m/>
    <m/>
    <m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m/>
    <m/>
    <m/>
  </r>
  <r>
    <n v="26"/>
    <x v="0"/>
    <s v="Travel_Rarely"/>
    <n v="1449"/>
    <x v="1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m/>
    <m/>
    <m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m/>
    <m/>
    <m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m/>
    <m/>
    <m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m/>
    <m/>
    <m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m/>
    <m/>
    <m/>
  </r>
  <r>
    <n v="26"/>
    <x v="0"/>
    <s v="Travel_Rarely"/>
    <n v="950"/>
    <x v="0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m/>
    <m/>
    <m/>
  </r>
  <r>
    <n v="37"/>
    <x v="1"/>
    <s v="Travel_Frequently"/>
    <n v="889"/>
    <x v="1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m/>
    <m/>
    <m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m/>
    <m/>
    <m/>
  </r>
  <r>
    <n v="18"/>
    <x v="0"/>
    <s v="Travel_Rarely"/>
    <n v="230"/>
    <x v="1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m/>
    <m/>
    <m/>
  </r>
  <r>
    <n v="35"/>
    <x v="1"/>
    <s v="Travel_Rarely"/>
    <n v="1232"/>
    <x v="0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m/>
    <m/>
    <m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m/>
    <m/>
    <m/>
  </r>
  <r>
    <n v="51"/>
    <x v="1"/>
    <s v="Travel_Rarely"/>
    <n v="1302"/>
    <x v="1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m/>
    <m/>
    <m/>
  </r>
  <r>
    <n v="41"/>
    <x v="1"/>
    <s v="Travel_Rarely"/>
    <n v="334"/>
    <x v="0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m/>
    <m/>
    <m/>
  </r>
  <r>
    <n v="18"/>
    <x v="1"/>
    <s v="Travel_Rarely"/>
    <n v="812"/>
    <x v="0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m/>
    <m/>
    <m/>
  </r>
  <r>
    <n v="28"/>
    <x v="1"/>
    <s v="Travel_Rarely"/>
    <n v="1476"/>
    <x v="1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m/>
    <m/>
    <m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m/>
    <m/>
    <m/>
  </r>
  <r>
    <n v="39"/>
    <x v="1"/>
    <s v="Travel_Rarely"/>
    <n v="1132"/>
    <x v="1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m/>
    <m/>
    <m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m/>
    <m/>
    <m/>
  </r>
  <r>
    <n v="32"/>
    <x v="1"/>
    <s v="Travel_Rarely"/>
    <n v="906"/>
    <x v="0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m/>
    <m/>
    <m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m/>
    <m/>
    <m/>
  </r>
  <r>
    <n v="58"/>
    <x v="1"/>
    <s v="Non-Travel"/>
    <n v="390"/>
    <x v="1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m/>
    <m/>
    <m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m/>
    <m/>
    <m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m/>
    <m/>
    <m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m/>
    <m/>
    <m/>
  </r>
  <r>
    <n v="31"/>
    <x v="1"/>
    <s v="Travel_Rarely"/>
    <n v="192"/>
    <x v="1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m/>
    <m/>
    <m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m/>
    <m/>
    <m/>
  </r>
  <r>
    <n v="39"/>
    <x v="1"/>
    <s v="Travel_Rarely"/>
    <n v="117"/>
    <x v="1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m/>
    <m/>
    <m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m/>
    <m/>
    <m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m/>
    <m/>
    <m/>
  </r>
  <r>
    <n v="52"/>
    <x v="0"/>
    <s v="Travel_Rarely"/>
    <n v="723"/>
    <x v="1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m/>
    <m/>
    <m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m/>
    <m/>
    <m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m/>
    <m/>
    <m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m/>
    <m/>
    <m/>
  </r>
  <r>
    <n v="31"/>
    <x v="1"/>
    <s v="Travel_Rarely"/>
    <n v="691"/>
    <x v="0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m/>
    <m/>
    <m/>
  </r>
  <r>
    <n v="32"/>
    <x v="1"/>
    <s v="Travel_Rarely"/>
    <n v="1018"/>
    <x v="1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m/>
    <m/>
    <m/>
  </r>
  <r>
    <n v="28"/>
    <x v="0"/>
    <s v="Travel_Rarely"/>
    <n v="1157"/>
    <x v="1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m/>
    <m/>
    <m/>
  </r>
  <r>
    <n v="30"/>
    <x v="1"/>
    <s v="Travel_Rarely"/>
    <n v="1275"/>
    <x v="1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m/>
    <m/>
    <m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m/>
    <m/>
    <m/>
  </r>
  <r>
    <n v="39"/>
    <x v="1"/>
    <s v="Travel_Frequently"/>
    <n v="672"/>
    <x v="1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m/>
    <m/>
    <m/>
  </r>
  <r>
    <n v="39"/>
    <x v="0"/>
    <s v="Travel_Rarely"/>
    <n v="1162"/>
    <x v="0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m/>
    <m/>
    <m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m/>
    <m/>
    <m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m/>
    <m/>
    <m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m/>
    <m/>
    <m/>
  </r>
  <r>
    <n v="27"/>
    <x v="1"/>
    <s v="Non-Travel"/>
    <n v="210"/>
    <x v="0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m/>
    <m/>
    <m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m/>
    <m/>
    <m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m/>
    <m/>
    <m/>
  </r>
  <r>
    <n v="45"/>
    <x v="1"/>
    <s v="Travel_Rarely"/>
    <n v="549"/>
    <x v="1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m/>
    <m/>
    <m/>
  </r>
  <r>
    <n v="40"/>
    <x v="1"/>
    <s v="Travel_Rarely"/>
    <n v="1124"/>
    <x v="0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m/>
    <m/>
    <m/>
  </r>
  <r>
    <n v="29"/>
    <x v="0"/>
    <s v="Travel_Rarely"/>
    <n v="318"/>
    <x v="1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m/>
    <m/>
    <m/>
  </r>
  <r>
    <n v="29"/>
    <x v="1"/>
    <s v="Travel_Rarely"/>
    <n v="738"/>
    <x v="1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m/>
    <m/>
    <m/>
  </r>
  <r>
    <n v="30"/>
    <x v="1"/>
    <s v="Travel_Rarely"/>
    <n v="570"/>
    <x v="0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m/>
    <m/>
    <m/>
  </r>
  <r>
    <n v="27"/>
    <x v="1"/>
    <s v="Travel_Rarely"/>
    <n v="1130"/>
    <x v="0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m/>
    <m/>
    <m/>
  </r>
  <r>
    <n v="37"/>
    <x v="1"/>
    <s v="Travel_Rarely"/>
    <n v="1192"/>
    <x v="1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m/>
    <m/>
    <m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m/>
    <m/>
    <m/>
  </r>
  <r>
    <n v="31"/>
    <x v="1"/>
    <s v="Travel_Rarely"/>
    <n v="1232"/>
    <x v="1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m/>
    <m/>
    <m/>
  </r>
  <r>
    <n v="29"/>
    <x v="1"/>
    <s v="Travel_Rarely"/>
    <n v="144"/>
    <x v="0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m/>
    <m/>
    <m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m/>
    <m/>
    <m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m/>
    <m/>
    <m/>
  </r>
  <r>
    <n v="41"/>
    <x v="1"/>
    <s v="Travel_Rarely"/>
    <n v="483"/>
    <x v="1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m/>
    <m/>
    <m/>
  </r>
  <r>
    <n v="47"/>
    <x v="1"/>
    <s v="Travel_Frequently"/>
    <n v="1309"/>
    <x v="0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m/>
    <m/>
    <m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m/>
    <m/>
    <m/>
  </r>
  <r>
    <n v="29"/>
    <x v="1"/>
    <s v="Non-Travel"/>
    <n v="746"/>
    <x v="0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m/>
    <m/>
    <m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m/>
    <m/>
    <m/>
  </r>
  <r>
    <n v="32"/>
    <x v="1"/>
    <s v="Travel_Rarely"/>
    <n v="1062"/>
    <x v="1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m/>
    <m/>
    <m/>
  </r>
  <r>
    <n v="48"/>
    <x v="1"/>
    <s v="Travel_Rarely"/>
    <n v="530"/>
    <x v="0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m/>
    <m/>
    <m/>
  </r>
  <r>
    <n v="37"/>
    <x v="1"/>
    <s v="Travel_Rarely"/>
    <n v="1319"/>
    <x v="1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m/>
    <m/>
    <m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m/>
    <m/>
    <m/>
  </r>
  <r>
    <n v="26"/>
    <x v="1"/>
    <s v="Travel_Rarely"/>
    <n v="933"/>
    <x v="0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m/>
    <m/>
    <m/>
  </r>
  <r>
    <n v="42"/>
    <x v="1"/>
    <s v="Travel_Rarely"/>
    <n v="1332"/>
    <x v="1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m/>
    <m/>
    <m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m/>
    <m/>
    <m/>
  </r>
  <r>
    <n v="36"/>
    <x v="1"/>
    <s v="Non-Travel"/>
    <n v="845"/>
    <x v="0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m/>
    <m/>
    <m/>
  </r>
  <r>
    <n v="36"/>
    <x v="1"/>
    <s v="Travel_Frequently"/>
    <n v="541"/>
    <x v="0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m/>
    <m/>
    <m/>
  </r>
  <r>
    <n v="57"/>
    <x v="1"/>
    <s v="Travel_Rarely"/>
    <n v="593"/>
    <x v="1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m/>
    <m/>
    <m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m/>
    <m/>
    <m/>
  </r>
  <r>
    <n v="21"/>
    <x v="1"/>
    <s v="Non-Travel"/>
    <n v="895"/>
    <x v="0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m/>
    <m/>
    <m/>
  </r>
  <r>
    <n v="33"/>
    <x v="0"/>
    <s v="Travel_Rarely"/>
    <n v="350"/>
    <x v="0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m/>
    <m/>
    <m/>
  </r>
  <r>
    <n v="37"/>
    <x v="1"/>
    <s v="Travel_Rarely"/>
    <n v="921"/>
    <x v="1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m/>
    <m/>
    <m/>
  </r>
  <r>
    <n v="46"/>
    <x v="1"/>
    <s v="Non-Travel"/>
    <n v="1144"/>
    <x v="1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m/>
    <m/>
    <m/>
  </r>
  <r>
    <n v="41"/>
    <x v="0"/>
    <s v="Travel_Frequently"/>
    <n v="143"/>
    <x v="0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m/>
    <m/>
    <m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m/>
    <m/>
    <m/>
  </r>
  <r>
    <n v="40"/>
    <x v="0"/>
    <s v="Travel_Rarely"/>
    <n v="575"/>
    <x v="0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m/>
    <m/>
    <m/>
  </r>
  <r>
    <n v="31"/>
    <x v="1"/>
    <s v="Travel_Rarely"/>
    <n v="408"/>
    <x v="1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m/>
    <m/>
    <m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m/>
    <m/>
    <m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m/>
    <m/>
    <m/>
  </r>
  <r>
    <n v="35"/>
    <x v="1"/>
    <s v="Travel_Rarely"/>
    <n v="755"/>
    <x v="1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m/>
    <m/>
    <m/>
  </r>
  <r>
    <n v="27"/>
    <x v="1"/>
    <s v="Travel_Rarely"/>
    <n v="1469"/>
    <x v="1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m/>
    <m/>
    <m/>
  </r>
  <r>
    <n v="28"/>
    <x v="1"/>
    <s v="Travel_Rarely"/>
    <n v="304"/>
    <x v="0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m/>
    <m/>
    <m/>
  </r>
  <r>
    <n v="49"/>
    <x v="1"/>
    <s v="Travel_Rarely"/>
    <n v="1261"/>
    <x v="1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m/>
    <m/>
    <m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m/>
    <m/>
    <m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m/>
    <m/>
    <m/>
  </r>
  <r>
    <n v="34"/>
    <x v="0"/>
    <s v="Non-Travel"/>
    <n v="1362"/>
    <x v="0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m/>
    <m/>
    <m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m/>
    <m/>
    <m/>
  </r>
  <r>
    <n v="24"/>
    <x v="1"/>
    <s v="Travel_Rarely"/>
    <n v="1371"/>
    <x v="0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m/>
    <m/>
    <m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m/>
    <m/>
    <m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m/>
    <m/>
    <m/>
  </r>
  <r>
    <n v="22"/>
    <x v="1"/>
    <s v="Travel_Rarely"/>
    <n v="253"/>
    <x v="1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m/>
    <m/>
    <m/>
  </r>
  <r>
    <n v="36"/>
    <x v="1"/>
    <s v="Travel_Rarely"/>
    <n v="164"/>
    <x v="0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m/>
    <m/>
    <m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m/>
    <m/>
    <m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m/>
    <m/>
    <m/>
  </r>
  <r>
    <n v="40"/>
    <x v="1"/>
    <s v="Travel_Rarely"/>
    <n v="759"/>
    <x v="0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m/>
    <m/>
    <m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m/>
    <m/>
    <m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m/>
    <m/>
    <m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m/>
    <m/>
    <m/>
  </r>
  <r>
    <n v="40"/>
    <x v="1"/>
    <s v="Travel_Rarely"/>
    <n v="555"/>
    <x v="1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m/>
    <m/>
    <m/>
  </r>
  <r>
    <n v="54"/>
    <x v="1"/>
    <s v="Travel_Rarely"/>
    <n v="821"/>
    <x v="1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m/>
    <m/>
    <m/>
  </r>
  <r>
    <n v="34"/>
    <x v="1"/>
    <s v="Non-Travel"/>
    <n v="1381"/>
    <x v="0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m/>
    <m/>
    <m/>
  </r>
  <r>
    <n v="31"/>
    <x v="1"/>
    <s v="Travel_Rarely"/>
    <n v="480"/>
    <x v="1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m/>
    <m/>
    <m/>
  </r>
  <r>
    <n v="43"/>
    <x v="1"/>
    <s v="Travel_Frequently"/>
    <n v="313"/>
    <x v="1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m/>
    <m/>
    <m/>
  </r>
  <r>
    <n v="43"/>
    <x v="1"/>
    <s v="Travel_Rarely"/>
    <n v="1473"/>
    <x v="1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m/>
    <m/>
    <m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m/>
    <m/>
    <m/>
  </r>
  <r>
    <n v="37"/>
    <x v="1"/>
    <s v="Non-Travel"/>
    <n v="1063"/>
    <x v="1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m/>
    <m/>
    <m/>
  </r>
  <r>
    <n v="31"/>
    <x v="1"/>
    <s v="Travel_Rarely"/>
    <n v="329"/>
    <x v="1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m/>
    <m/>
    <m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m/>
    <m/>
    <m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m/>
    <m/>
    <m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m/>
    <m/>
    <m/>
  </r>
  <r>
    <n v="41"/>
    <x v="1"/>
    <s v="Travel_Rarely"/>
    <n v="645"/>
    <x v="0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m/>
    <m/>
    <m/>
  </r>
  <r>
    <n v="28"/>
    <x v="1"/>
    <s v="Travel_Rarely"/>
    <n v="1300"/>
    <x v="1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m/>
    <m/>
    <m/>
  </r>
  <r>
    <n v="25"/>
    <x v="0"/>
    <s v="Travel_Rarely"/>
    <n v="688"/>
    <x v="1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m/>
    <m/>
    <m/>
  </r>
  <r>
    <n v="52"/>
    <x v="1"/>
    <s v="Travel_Rarely"/>
    <n v="319"/>
    <x v="1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m/>
    <m/>
    <m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m/>
    <m/>
    <m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m/>
    <m/>
    <m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m/>
    <m/>
    <m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m/>
    <m/>
    <m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m/>
    <m/>
    <m/>
  </r>
  <r>
    <n v="46"/>
    <x v="1"/>
    <s v="Travel_Rarely"/>
    <n v="1485"/>
    <x v="1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m/>
    <m/>
    <m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m/>
    <m/>
    <m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m/>
    <m/>
    <m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m/>
    <m/>
    <m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m/>
    <m/>
    <m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m/>
    <m/>
    <m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m/>
    <m/>
    <m/>
  </r>
  <r>
    <n v="30"/>
    <x v="1"/>
    <s v="Non-Travel"/>
    <n v="1400"/>
    <x v="1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m/>
    <m/>
    <m/>
  </r>
  <r>
    <n v="29"/>
    <x v="1"/>
    <s v="Travel_Rarely"/>
    <n v="986"/>
    <x v="1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m/>
    <m/>
    <m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m/>
    <m/>
    <m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m/>
    <m/>
    <m/>
  </r>
  <r>
    <n v="30"/>
    <x v="1"/>
    <s v="Non-Travel"/>
    <n v="1398"/>
    <x v="0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m/>
    <m/>
    <m/>
  </r>
  <r>
    <n v="57"/>
    <x v="1"/>
    <s v="Travel_Rarely"/>
    <n v="210"/>
    <x v="0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m/>
    <m/>
    <m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m/>
    <m/>
    <m/>
  </r>
  <r>
    <n v="30"/>
    <x v="1"/>
    <s v="Non-Travel"/>
    <n v="1116"/>
    <x v="1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m/>
    <m/>
    <m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m/>
    <m/>
    <m/>
  </r>
  <r>
    <n v="47"/>
    <x v="1"/>
    <s v="Travel_Rarely"/>
    <n v="983"/>
    <x v="1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m/>
    <m/>
    <m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m/>
    <m/>
    <m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m/>
    <m/>
    <m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m/>
    <m/>
    <m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m/>
    <m/>
    <m/>
  </r>
  <r>
    <n v="46"/>
    <x v="1"/>
    <s v="Travel_Rarely"/>
    <n v="1125"/>
    <x v="0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m/>
    <m/>
    <m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m/>
    <m/>
    <m/>
  </r>
  <r>
    <n v="33"/>
    <x v="0"/>
    <s v="Travel_Rarely"/>
    <n v="1277"/>
    <x v="1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m/>
    <m/>
    <m/>
  </r>
  <r>
    <n v="33"/>
    <x v="0"/>
    <s v="Travel_Rarely"/>
    <n v="587"/>
    <x v="1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m/>
    <m/>
    <m/>
  </r>
  <r>
    <n v="30"/>
    <x v="1"/>
    <s v="Travel_Rarely"/>
    <n v="413"/>
    <x v="0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m/>
    <m/>
    <m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m/>
    <m/>
    <m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m/>
    <m/>
    <m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m/>
    <m/>
    <m/>
  </r>
  <r>
    <n v="42"/>
    <x v="1"/>
    <s v="Travel_Frequently"/>
    <n v="1474"/>
    <x v="1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m/>
    <m/>
    <m/>
  </r>
  <r>
    <n v="36"/>
    <x v="1"/>
    <s v="Non-Travel"/>
    <n v="635"/>
    <x v="0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m/>
    <m/>
    <m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m/>
    <m/>
    <m/>
  </r>
  <r>
    <n v="48"/>
    <x v="1"/>
    <s v="Travel_Rarely"/>
    <n v="163"/>
    <x v="0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m/>
    <m/>
    <m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m/>
    <m/>
    <m/>
  </r>
  <r>
    <n v="41"/>
    <x v="1"/>
    <s v="Non-Travel"/>
    <n v="267"/>
    <x v="0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m/>
    <m/>
    <m/>
  </r>
  <r>
    <n v="35"/>
    <x v="1"/>
    <s v="Travel_Rarely"/>
    <n v="619"/>
    <x v="0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m/>
    <m/>
    <m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m/>
    <m/>
    <m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m/>
    <m/>
    <m/>
  </r>
  <r>
    <n v="31"/>
    <x v="1"/>
    <s v="Travel_Rarely"/>
    <n v="828"/>
    <x v="0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m/>
    <m/>
    <m/>
  </r>
  <r>
    <n v="42"/>
    <x v="1"/>
    <s v="Travel_Rarely"/>
    <n v="319"/>
    <x v="1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m/>
    <m/>
    <m/>
  </r>
  <r>
    <n v="45"/>
    <x v="1"/>
    <s v="Travel_Rarely"/>
    <n v="561"/>
    <x v="0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m/>
    <m/>
    <m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m/>
    <m/>
    <m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m/>
    <m/>
    <m/>
  </r>
  <r>
    <n v="33"/>
    <x v="1"/>
    <s v="Travel_Rarely"/>
    <n v="922"/>
    <x v="1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m/>
    <m/>
    <m/>
  </r>
  <r>
    <n v="31"/>
    <x v="1"/>
    <s v="Travel_Rarely"/>
    <n v="688"/>
    <x v="0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m/>
    <m/>
    <m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m/>
    <m/>
    <m/>
  </r>
  <r>
    <n v="40"/>
    <x v="1"/>
    <s v="Non-Travel"/>
    <n v="1094"/>
    <x v="0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m/>
    <m/>
    <m/>
  </r>
  <r>
    <n v="41"/>
    <x v="1"/>
    <s v="Non-Travel"/>
    <n v="509"/>
    <x v="1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m/>
    <m/>
    <m/>
  </r>
  <r>
    <n v="26"/>
    <x v="1"/>
    <s v="Travel_Rarely"/>
    <n v="775"/>
    <x v="0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m/>
    <m/>
    <m/>
  </r>
  <r>
    <n v="35"/>
    <x v="1"/>
    <s v="Travel_Rarely"/>
    <n v="195"/>
    <x v="0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m/>
    <m/>
    <m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m/>
    <m/>
    <m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m/>
    <m/>
    <m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m/>
    <m/>
    <m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m/>
    <m/>
    <m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m/>
    <m/>
    <m/>
  </r>
  <r>
    <n v="37"/>
    <x v="1"/>
    <s v="Non-Travel"/>
    <n v="142"/>
    <x v="0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m/>
    <m/>
    <m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m/>
    <m/>
    <m/>
  </r>
  <r>
    <n v="32"/>
    <x v="0"/>
    <s v="Non-Travel"/>
    <n v="1474"/>
    <x v="0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m/>
    <m/>
    <m/>
  </r>
  <r>
    <n v="24"/>
    <x v="1"/>
    <s v="Travel_Frequently"/>
    <n v="535"/>
    <x v="0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m/>
    <m/>
    <m/>
  </r>
  <r>
    <n v="38"/>
    <x v="1"/>
    <s v="Travel_Rarely"/>
    <n v="1495"/>
    <x v="1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m/>
    <m/>
    <m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m/>
    <m/>
    <m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m/>
    <m/>
    <m/>
  </r>
  <r>
    <n v="24"/>
    <x v="1"/>
    <s v="Travel_Rarely"/>
    <n v="691"/>
    <x v="1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m/>
    <m/>
    <m/>
  </r>
  <r>
    <n v="26"/>
    <x v="1"/>
    <s v="Travel_Rarely"/>
    <n v="703"/>
    <x v="0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m/>
    <m/>
    <m/>
  </r>
  <r>
    <n v="24"/>
    <x v="1"/>
    <s v="Travel_Rarely"/>
    <n v="823"/>
    <x v="1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m/>
    <m/>
    <m/>
  </r>
  <r>
    <n v="50"/>
    <x v="1"/>
    <s v="Travel_Frequently"/>
    <n v="1246"/>
    <x v="2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m/>
    <m/>
    <m/>
  </r>
  <r>
    <n v="25"/>
    <x v="1"/>
    <s v="Travel_Rarely"/>
    <n v="622"/>
    <x v="0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m/>
    <m/>
    <m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m/>
    <m/>
    <m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m/>
    <m/>
    <m/>
  </r>
  <r>
    <n v="34"/>
    <x v="1"/>
    <s v="Travel_Rarely"/>
    <n v="254"/>
    <x v="1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m/>
    <m/>
    <m/>
  </r>
  <r>
    <n v="31"/>
    <x v="0"/>
    <s v="Travel_Rarely"/>
    <n v="1365"/>
    <x v="0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m/>
    <m/>
    <m/>
  </r>
  <r>
    <n v="35"/>
    <x v="1"/>
    <s v="Travel_Rarely"/>
    <n v="538"/>
    <x v="1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m/>
    <m/>
    <m/>
  </r>
  <r>
    <n v="31"/>
    <x v="1"/>
    <s v="Travel_Rarely"/>
    <n v="525"/>
    <x v="0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m/>
    <m/>
    <m/>
  </r>
  <r>
    <n v="27"/>
    <x v="1"/>
    <s v="Travel_Rarely"/>
    <n v="798"/>
    <x v="1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m/>
    <m/>
    <m/>
  </r>
  <r>
    <n v="37"/>
    <x v="1"/>
    <s v="Travel_Rarely"/>
    <n v="558"/>
    <x v="0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m/>
    <m/>
    <m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m/>
    <m/>
    <m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m/>
    <m/>
    <m/>
  </r>
  <r>
    <n v="43"/>
    <x v="1"/>
    <s v="Travel_Rarely"/>
    <n v="782"/>
    <x v="1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m/>
    <m/>
    <m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m/>
    <m/>
    <m/>
  </r>
  <r>
    <n v="43"/>
    <x v="1"/>
    <s v="Travel_Frequently"/>
    <n v="1001"/>
    <x v="1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m/>
    <m/>
    <m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m/>
    <m/>
    <m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m/>
    <m/>
    <m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m/>
    <m/>
    <m/>
  </r>
  <r>
    <n v="27"/>
    <x v="0"/>
    <s v="Travel_Rarely"/>
    <n v="1420"/>
    <x v="0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m/>
    <m/>
    <m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m/>
    <m/>
    <m/>
  </r>
  <r>
    <n v="44"/>
    <x v="1"/>
    <s v="Travel_Rarely"/>
    <n v="1315"/>
    <x v="1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m/>
    <m/>
    <m/>
  </r>
  <r>
    <n v="22"/>
    <x v="1"/>
    <s v="Travel_Rarely"/>
    <n v="604"/>
    <x v="1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m/>
    <m/>
    <m/>
  </r>
  <r>
    <n v="33"/>
    <x v="1"/>
    <s v="Travel_Rarely"/>
    <n v="1216"/>
    <x v="0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m/>
    <m/>
    <m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m/>
    <m/>
    <m/>
  </r>
  <r>
    <n v="30"/>
    <x v="1"/>
    <s v="Travel_Frequently"/>
    <n v="160"/>
    <x v="1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m/>
    <m/>
    <m/>
  </r>
  <r>
    <n v="53"/>
    <x v="1"/>
    <s v="Travel_Rarely"/>
    <n v="238"/>
    <x v="0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m/>
    <m/>
    <m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m/>
    <m/>
    <m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m/>
    <m/>
    <m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m/>
    <m/>
    <m/>
  </r>
  <r>
    <n v="37"/>
    <x v="1"/>
    <s v="Travel_Rarely"/>
    <n v="482"/>
    <x v="1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m/>
    <m/>
    <m/>
  </r>
  <r>
    <n v="29"/>
    <x v="1"/>
    <s v="Travel_Rarely"/>
    <n v="1176"/>
    <x v="0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m/>
    <m/>
    <m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m/>
    <m/>
    <m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m/>
    <m/>
    <m/>
  </r>
  <r>
    <n v="54"/>
    <x v="1"/>
    <s v="Travel_Rarely"/>
    <n v="397"/>
    <x v="2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m/>
    <m/>
    <m/>
  </r>
  <r>
    <n v="36"/>
    <x v="1"/>
    <s v="Travel_Rarely"/>
    <n v="913"/>
    <x v="1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m/>
    <m/>
    <m/>
  </r>
  <r>
    <n v="27"/>
    <x v="1"/>
    <s v="Travel_Rarely"/>
    <n v="1115"/>
    <x v="1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m/>
    <m/>
    <m/>
  </r>
  <r>
    <n v="20"/>
    <x v="0"/>
    <s v="Travel_Rarely"/>
    <n v="1362"/>
    <x v="1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m/>
    <m/>
    <m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m/>
    <m/>
    <m/>
  </r>
  <r>
    <n v="35"/>
    <x v="1"/>
    <s v="Non-Travel"/>
    <n v="727"/>
    <x v="1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m/>
    <m/>
    <m/>
  </r>
  <r>
    <n v="23"/>
    <x v="1"/>
    <s v="Travel_Rarely"/>
    <n v="885"/>
    <x v="1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m/>
    <m/>
    <m/>
  </r>
  <r>
    <n v="25"/>
    <x v="1"/>
    <s v="Travel_Rarely"/>
    <n v="810"/>
    <x v="0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m/>
    <m/>
    <m/>
  </r>
  <r>
    <n v="38"/>
    <x v="1"/>
    <s v="Travel_Rarely"/>
    <n v="243"/>
    <x v="0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m/>
    <m/>
    <m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m/>
    <m/>
    <m/>
  </r>
  <r>
    <n v="48"/>
    <x v="1"/>
    <s v="Travel_Rarely"/>
    <n v="817"/>
    <x v="0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m/>
    <m/>
    <m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m/>
    <m/>
    <m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m/>
    <m/>
    <m/>
  </r>
  <r>
    <n v="50"/>
    <x v="1"/>
    <s v="Travel_Rarely"/>
    <n v="1207"/>
    <x v="1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m/>
    <m/>
    <m/>
  </r>
  <r>
    <n v="34"/>
    <x v="1"/>
    <s v="Travel_Rarely"/>
    <n v="1442"/>
    <x v="1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m/>
    <m/>
    <m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m/>
    <m/>
    <m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m/>
    <m/>
    <m/>
  </r>
  <r>
    <n v="32"/>
    <x v="1"/>
    <s v="Travel_Rarely"/>
    <n v="929"/>
    <x v="0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m/>
    <m/>
    <m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m/>
    <m/>
    <m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m/>
    <m/>
    <m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m/>
    <m/>
    <m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m/>
    <m/>
    <m/>
  </r>
  <r>
    <n v="47"/>
    <x v="1"/>
    <s v="Travel_Rarely"/>
    <n v="703"/>
    <x v="0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m/>
    <m/>
    <m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m/>
    <m/>
    <m/>
  </r>
  <r>
    <n v="53"/>
    <x v="1"/>
    <s v="Travel_Rarely"/>
    <n v="970"/>
    <x v="1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m/>
    <m/>
    <m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m/>
    <m/>
    <m/>
  </r>
  <r>
    <n v="60"/>
    <x v="1"/>
    <s v="Travel_Rarely"/>
    <n v="1179"/>
    <x v="0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m/>
    <m/>
    <m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m/>
    <m/>
    <m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m/>
    <m/>
    <m/>
  </r>
  <r>
    <n v="50"/>
    <x v="1"/>
    <s v="Travel_Rarely"/>
    <n v="316"/>
    <x v="0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m/>
    <m/>
    <m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m/>
    <m/>
    <m/>
  </r>
  <r>
    <n v="36"/>
    <x v="1"/>
    <s v="Non-Travel"/>
    <n v="427"/>
    <x v="1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m/>
    <m/>
    <m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m/>
    <m/>
    <m/>
  </r>
  <r>
    <n v="44"/>
    <x v="1"/>
    <s v="Non-Travel"/>
    <n v="381"/>
    <x v="1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m/>
    <m/>
    <m/>
  </r>
  <r>
    <n v="47"/>
    <x v="1"/>
    <s v="Travel_Frequently"/>
    <n v="217"/>
    <x v="0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m/>
    <m/>
    <m/>
  </r>
  <r>
    <n v="30"/>
    <x v="1"/>
    <s v="Travel_Rarely"/>
    <n v="501"/>
    <x v="0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m/>
    <m/>
    <m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m/>
    <m/>
    <m/>
  </r>
  <r>
    <n v="42"/>
    <x v="0"/>
    <s v="Travel_Frequently"/>
    <n v="933"/>
    <x v="1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m/>
    <m/>
    <m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m/>
    <m/>
    <m/>
  </r>
  <r>
    <n v="34"/>
    <x v="1"/>
    <s v="Travel_Rarely"/>
    <n v="970"/>
    <x v="1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m/>
    <m/>
    <m/>
  </r>
  <r>
    <n v="23"/>
    <x v="1"/>
    <s v="Travel_Rarely"/>
    <n v="650"/>
    <x v="1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m/>
    <m/>
    <m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m/>
    <m/>
    <m/>
  </r>
  <r>
    <n v="56"/>
    <x v="1"/>
    <s v="Travel_Rarely"/>
    <n v="832"/>
    <x v="1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m/>
    <m/>
    <m/>
  </r>
  <r>
    <n v="40"/>
    <x v="1"/>
    <s v="Travel_Rarely"/>
    <n v="804"/>
    <x v="1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m/>
    <m/>
    <m/>
  </r>
  <r>
    <n v="27"/>
    <x v="1"/>
    <s v="Travel_Rarely"/>
    <n v="975"/>
    <x v="1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m/>
    <m/>
    <m/>
  </r>
  <r>
    <n v="29"/>
    <x v="1"/>
    <s v="Travel_Rarely"/>
    <n v="1090"/>
    <x v="0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m/>
    <m/>
    <m/>
  </r>
  <r>
    <n v="53"/>
    <x v="1"/>
    <s v="Travel_Rarely"/>
    <n v="346"/>
    <x v="1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m/>
    <m/>
    <m/>
  </r>
  <r>
    <n v="35"/>
    <x v="1"/>
    <s v="Non-Travel"/>
    <n v="1225"/>
    <x v="1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m/>
    <m/>
    <m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m/>
    <m/>
    <m/>
  </r>
  <r>
    <n v="38"/>
    <x v="1"/>
    <s v="Travel_Rarely"/>
    <n v="268"/>
    <x v="1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m/>
    <m/>
    <m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m/>
    <m/>
    <m/>
  </r>
  <r>
    <n v="52"/>
    <x v="1"/>
    <s v="Travel_Rarely"/>
    <n v="621"/>
    <x v="0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m/>
    <m/>
    <m/>
  </r>
  <r>
    <n v="33"/>
    <x v="0"/>
    <s v="Travel_Rarely"/>
    <n v="527"/>
    <x v="1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m/>
    <m/>
    <m/>
  </r>
  <r>
    <n v="25"/>
    <x v="1"/>
    <s v="Travel_Rarely"/>
    <n v="883"/>
    <x v="0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m/>
    <m/>
    <m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m/>
    <m/>
    <m/>
  </r>
  <r>
    <n v="23"/>
    <x v="1"/>
    <s v="Travel_Rarely"/>
    <n v="310"/>
    <x v="1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m/>
    <m/>
    <m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m/>
    <m/>
    <m/>
  </r>
  <r>
    <n v="34"/>
    <x v="1"/>
    <s v="Travel_Rarely"/>
    <n v="304"/>
    <x v="0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m/>
    <m/>
    <m/>
  </r>
  <r>
    <n v="55"/>
    <x v="0"/>
    <s v="Travel_Rarely"/>
    <n v="725"/>
    <x v="1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m/>
    <m/>
    <m/>
  </r>
  <r>
    <n v="36"/>
    <x v="1"/>
    <s v="Non-Travel"/>
    <n v="1434"/>
    <x v="0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m/>
    <m/>
    <m/>
  </r>
  <r>
    <n v="52"/>
    <x v="1"/>
    <s v="Non-Travel"/>
    <n v="715"/>
    <x v="1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m/>
    <m/>
    <m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m/>
    <m/>
    <m/>
  </r>
  <r>
    <n v="29"/>
    <x v="1"/>
    <s v="Travel_Rarely"/>
    <n v="657"/>
    <x v="1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m/>
    <m/>
    <m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m/>
    <m/>
    <m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m/>
    <m/>
    <m/>
  </r>
  <r>
    <n v="54"/>
    <x v="1"/>
    <s v="Travel_Rarely"/>
    <n v="376"/>
    <x v="1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m/>
    <m/>
    <m/>
  </r>
  <r>
    <n v="27"/>
    <x v="1"/>
    <s v="Travel_Frequently"/>
    <n v="829"/>
    <x v="0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m/>
    <m/>
    <m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m/>
    <m/>
    <m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m/>
    <m/>
    <m/>
  </r>
  <r>
    <n v="34"/>
    <x v="1"/>
    <s v="Travel_Rarely"/>
    <n v="121"/>
    <x v="1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m/>
    <m/>
    <m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m/>
    <m/>
    <m/>
  </r>
  <r>
    <n v="30"/>
    <x v="1"/>
    <s v="Travel_Rarely"/>
    <n v="921"/>
    <x v="1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m/>
    <m/>
    <m/>
  </r>
  <r>
    <n v="40"/>
    <x v="1"/>
    <s v="Travel_Frequently"/>
    <n v="791"/>
    <x v="1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m/>
    <m/>
    <m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m/>
    <m/>
    <m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m/>
    <m/>
    <m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m/>
    <m/>
    <m/>
  </r>
  <r>
    <n v="24"/>
    <x v="1"/>
    <s v="Non-Travel"/>
    <n v="1092"/>
    <x v="1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m/>
    <m/>
    <m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m/>
    <m/>
    <m/>
  </r>
  <r>
    <n v="50"/>
    <x v="1"/>
    <s v="Travel_Rarely"/>
    <n v="691"/>
    <x v="1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m/>
    <m/>
    <m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m/>
    <m/>
    <m/>
  </r>
  <r>
    <n v="33"/>
    <x v="1"/>
    <s v="Travel_Rarely"/>
    <n v="213"/>
    <x v="1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m/>
    <m/>
    <m/>
  </r>
  <r>
    <n v="33"/>
    <x v="0"/>
    <s v="Travel_Rarely"/>
    <n v="118"/>
    <x v="0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m/>
    <m/>
    <m/>
  </r>
  <r>
    <n v="47"/>
    <x v="1"/>
    <s v="Travel_Rarely"/>
    <n v="202"/>
    <x v="1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m/>
    <m/>
    <m/>
  </r>
  <r>
    <n v="36"/>
    <x v="1"/>
    <s v="Travel_Rarely"/>
    <n v="676"/>
    <x v="1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m/>
    <m/>
    <m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m/>
    <m/>
    <m/>
  </r>
  <r>
    <n v="58"/>
    <x v="0"/>
    <s v="Travel_Rarely"/>
    <n v="286"/>
    <x v="1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m/>
    <m/>
    <m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m/>
    <m/>
    <m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m/>
    <m/>
    <m/>
  </r>
  <r>
    <n v="28"/>
    <x v="0"/>
    <s v="Travel_Rarely"/>
    <n v="890"/>
    <x v="1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m/>
    <m/>
    <m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m/>
    <m/>
    <m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m/>
    <m/>
    <m/>
  </r>
  <r>
    <n v="40"/>
    <x v="1"/>
    <s v="Travel_Frequently"/>
    <n v="720"/>
    <x v="1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m/>
    <m/>
    <m/>
  </r>
  <r>
    <n v="30"/>
    <x v="1"/>
    <s v="Travel_Rarely"/>
    <n v="946"/>
    <x v="1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m/>
    <m/>
    <m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m/>
    <m/>
    <m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m/>
    <m/>
    <m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m/>
    <m/>
    <m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m/>
    <m/>
    <m/>
  </r>
  <r>
    <n v="49"/>
    <x v="0"/>
    <s v="Travel_Rarely"/>
    <n v="1184"/>
    <x v="0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m/>
    <m/>
    <m/>
  </r>
  <r>
    <n v="55"/>
    <x v="0"/>
    <s v="Travel_Rarely"/>
    <n v="436"/>
    <x v="0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m/>
    <m/>
    <m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m/>
    <m/>
    <m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m/>
    <m/>
    <m/>
  </r>
  <r>
    <n v="35"/>
    <x v="1"/>
    <s v="Travel_Rarely"/>
    <n v="950"/>
    <x v="1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m/>
    <m/>
    <m/>
  </r>
  <r>
    <n v="28"/>
    <x v="1"/>
    <s v="Travel_Rarely"/>
    <n v="760"/>
    <x v="0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m/>
    <m/>
    <m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m/>
    <m/>
    <m/>
  </r>
  <r>
    <n v="26"/>
    <x v="0"/>
    <s v="Travel_Frequently"/>
    <n v="887"/>
    <x v="1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m/>
    <m/>
    <m/>
  </r>
  <r>
    <n v="27"/>
    <x v="1"/>
    <s v="Non-Travel"/>
    <n v="443"/>
    <x v="1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m/>
    <m/>
    <m/>
  </r>
  <r>
    <n v="51"/>
    <x v="1"/>
    <s v="Travel_Rarely"/>
    <n v="1318"/>
    <x v="0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m/>
    <m/>
    <m/>
  </r>
  <r>
    <n v="44"/>
    <x v="1"/>
    <s v="Travel_Rarely"/>
    <n v="625"/>
    <x v="1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m/>
    <m/>
    <m/>
  </r>
  <r>
    <n v="25"/>
    <x v="1"/>
    <s v="Travel_Rarely"/>
    <n v="180"/>
    <x v="1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m/>
    <m/>
    <m/>
  </r>
  <r>
    <n v="33"/>
    <x v="1"/>
    <s v="Travel_Rarely"/>
    <n v="586"/>
    <x v="0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m/>
    <m/>
    <m/>
  </r>
  <r>
    <n v="35"/>
    <x v="1"/>
    <s v="Travel_Rarely"/>
    <n v="1343"/>
    <x v="1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m/>
    <m/>
    <m/>
  </r>
  <r>
    <n v="36"/>
    <x v="1"/>
    <s v="Travel_Rarely"/>
    <n v="928"/>
    <x v="0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m/>
    <m/>
    <m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m/>
    <m/>
    <m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m/>
    <m/>
    <m/>
  </r>
  <r>
    <n v="53"/>
    <x v="1"/>
    <s v="Travel_Rarely"/>
    <n v="661"/>
    <x v="0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m/>
    <m/>
    <m/>
  </r>
  <r>
    <n v="45"/>
    <x v="1"/>
    <s v="Travel_Rarely"/>
    <n v="930"/>
    <x v="0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m/>
    <m/>
    <m/>
  </r>
  <r>
    <n v="32"/>
    <x v="1"/>
    <s v="Travel_Rarely"/>
    <n v="638"/>
    <x v="1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m/>
    <m/>
    <m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m/>
    <m/>
    <m/>
  </r>
  <r>
    <n v="37"/>
    <x v="1"/>
    <s v="Travel_Rarely"/>
    <n v="342"/>
    <x v="0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m/>
    <m/>
    <m/>
  </r>
  <r>
    <n v="28"/>
    <x v="1"/>
    <s v="Travel_Rarely"/>
    <n v="1169"/>
    <x v="2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m/>
    <m/>
    <m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m/>
    <m/>
    <m/>
  </r>
  <r>
    <n v="44"/>
    <x v="1"/>
    <s v="Travel_Rarely"/>
    <n v="986"/>
    <x v="1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m/>
    <m/>
    <m/>
  </r>
  <r>
    <n v="42"/>
    <x v="1"/>
    <s v="Travel_Frequently"/>
    <n v="1271"/>
    <x v="1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m/>
    <m/>
    <m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m/>
    <m/>
    <m/>
  </r>
  <r>
    <n v="25"/>
    <x v="1"/>
    <s v="Travel_Rarely"/>
    <n v="141"/>
    <x v="0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m/>
    <m/>
    <m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m/>
    <m/>
    <m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m/>
    <m/>
    <m/>
  </r>
  <r>
    <n v="32"/>
    <x v="1"/>
    <s v="Non-Travel"/>
    <n v="300"/>
    <x v="1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m/>
    <m/>
    <m/>
  </r>
  <r>
    <n v="25"/>
    <x v="1"/>
    <s v="Travel_Rarely"/>
    <n v="583"/>
    <x v="0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m/>
    <m/>
    <m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m/>
    <m/>
    <m/>
  </r>
  <r>
    <n v="24"/>
    <x v="1"/>
    <s v="Non-Travel"/>
    <n v="1269"/>
    <x v="1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m/>
    <m/>
    <m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m/>
    <m/>
    <m/>
  </r>
  <r>
    <n v="38"/>
    <x v="1"/>
    <s v="Travel_Rarely"/>
    <n v="395"/>
    <x v="0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m/>
    <m/>
    <m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m/>
    <m/>
    <m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m/>
    <m/>
    <m/>
  </r>
  <r>
    <n v="29"/>
    <x v="0"/>
    <s v="Travel_Rarely"/>
    <n v="341"/>
    <x v="0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m/>
    <m/>
    <m/>
  </r>
  <r>
    <n v="53"/>
    <x v="1"/>
    <s v="Travel_Rarely"/>
    <n v="868"/>
    <x v="0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m/>
    <m/>
    <m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m/>
    <m/>
    <m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m/>
    <m/>
    <m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m/>
    <m/>
    <m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m/>
    <m/>
    <m/>
  </r>
  <r>
    <n v="47"/>
    <x v="1"/>
    <s v="Travel_Rarely"/>
    <n v="249"/>
    <x v="0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m/>
    <m/>
    <m/>
  </r>
  <r>
    <n v="37"/>
    <x v="1"/>
    <s v="Non-Travel"/>
    <n v="1252"/>
    <x v="0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m/>
    <m/>
    <m/>
  </r>
  <r>
    <n v="50"/>
    <x v="1"/>
    <s v="Non-Travel"/>
    <n v="881"/>
    <x v="1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m/>
    <m/>
    <m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m/>
    <m/>
    <m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m/>
    <m/>
    <m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m/>
    <m/>
    <m/>
  </r>
  <r>
    <n v="29"/>
    <x v="1"/>
    <s v="Travel_Rarely"/>
    <n v="1086"/>
    <x v="1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m/>
    <m/>
    <m/>
  </r>
  <r>
    <n v="44"/>
    <x v="1"/>
    <s v="Travel_Rarely"/>
    <n v="661"/>
    <x v="1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m/>
    <m/>
    <m/>
  </r>
  <r>
    <n v="28"/>
    <x v="1"/>
    <s v="Travel_Rarely"/>
    <n v="821"/>
    <x v="0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m/>
    <m/>
    <m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m/>
    <m/>
    <m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m/>
    <m/>
    <m/>
  </r>
  <r>
    <n v="20"/>
    <x v="0"/>
    <s v="Travel_Rarely"/>
    <n v="500"/>
    <x v="0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m/>
    <m/>
    <m/>
  </r>
  <r>
    <n v="21"/>
    <x v="0"/>
    <s v="Travel_Rarely"/>
    <n v="1427"/>
    <x v="1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m/>
    <m/>
    <m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m/>
    <m/>
    <m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m/>
    <m/>
    <m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m/>
    <m/>
    <m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m/>
    <m/>
    <m/>
  </r>
  <r>
    <n v="28"/>
    <x v="1"/>
    <s v="Travel_Rarely"/>
    <n v="995"/>
    <x v="1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m/>
    <m/>
    <m/>
  </r>
  <r>
    <n v="39"/>
    <x v="0"/>
    <s v="Travel_Rarely"/>
    <n v="1122"/>
    <x v="1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m/>
    <m/>
    <m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m/>
    <m/>
    <m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m/>
    <m/>
    <m/>
  </r>
  <r>
    <n v="42"/>
    <x v="1"/>
    <s v="Travel_Rarely"/>
    <n v="462"/>
    <x v="0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m/>
    <m/>
    <m/>
  </r>
  <r>
    <n v="33"/>
    <x v="1"/>
    <s v="Travel_Rarely"/>
    <n v="1198"/>
    <x v="1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m/>
    <m/>
    <m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m/>
    <m/>
    <m/>
  </r>
  <r>
    <n v="31"/>
    <x v="1"/>
    <s v="Travel_Rarely"/>
    <n v="154"/>
    <x v="0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m/>
    <m/>
    <m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m/>
    <m/>
    <m/>
  </r>
  <r>
    <n v="49"/>
    <x v="1"/>
    <s v="Travel_Rarely"/>
    <n v="527"/>
    <x v="1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m/>
    <m/>
    <m/>
  </r>
  <r>
    <n v="48"/>
    <x v="1"/>
    <s v="Travel_Rarely"/>
    <n v="1469"/>
    <x v="1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m/>
    <m/>
    <m/>
  </r>
  <r>
    <n v="31"/>
    <x v="1"/>
    <s v="Non-Travel"/>
    <n v="1188"/>
    <x v="0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m/>
    <m/>
    <m/>
  </r>
  <r>
    <n v="36"/>
    <x v="1"/>
    <s v="Travel_Rarely"/>
    <n v="188"/>
    <x v="1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m/>
    <m/>
    <m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m/>
    <m/>
    <m/>
  </r>
  <r>
    <n v="32"/>
    <x v="1"/>
    <s v="Non-Travel"/>
    <n v="1184"/>
    <x v="1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m/>
    <m/>
    <m/>
  </r>
  <r>
    <n v="25"/>
    <x v="0"/>
    <s v="Travel_Rarely"/>
    <n v="867"/>
    <x v="0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m/>
    <m/>
    <m/>
  </r>
  <r>
    <n v="40"/>
    <x v="1"/>
    <s v="Travel_Rarely"/>
    <n v="658"/>
    <x v="0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m/>
    <m/>
    <m/>
  </r>
  <r>
    <n v="26"/>
    <x v="1"/>
    <s v="Travel_Frequently"/>
    <n v="1283"/>
    <x v="0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m/>
    <m/>
    <m/>
  </r>
  <r>
    <n v="41"/>
    <x v="1"/>
    <s v="Travel_Rarely"/>
    <n v="263"/>
    <x v="1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m/>
    <m/>
    <m/>
  </r>
  <r>
    <n v="36"/>
    <x v="1"/>
    <s v="Travel_Rarely"/>
    <n v="938"/>
    <x v="1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m/>
    <m/>
    <m/>
  </r>
  <r>
    <n v="19"/>
    <x v="0"/>
    <s v="Travel_Rarely"/>
    <n v="419"/>
    <x v="0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m/>
    <m/>
    <m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m/>
    <m/>
    <m/>
  </r>
  <r>
    <n v="31"/>
    <x v="1"/>
    <s v="Travel_Rarely"/>
    <n v="616"/>
    <x v="1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m/>
    <m/>
    <m/>
  </r>
  <r>
    <n v="40"/>
    <x v="1"/>
    <s v="Travel_Frequently"/>
    <n v="1469"/>
    <x v="1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m/>
    <m/>
    <m/>
  </r>
  <r>
    <n v="32"/>
    <x v="1"/>
    <s v="Travel_Rarely"/>
    <n v="498"/>
    <x v="1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m/>
    <m/>
    <m/>
  </r>
  <r>
    <n v="36"/>
    <x v="0"/>
    <s v="Travel_Rarely"/>
    <n v="530"/>
    <x v="0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m/>
    <m/>
    <m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m/>
    <m/>
    <m/>
  </r>
  <r>
    <n v="37"/>
    <x v="0"/>
    <s v="Travel_Rarely"/>
    <n v="625"/>
    <x v="0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m/>
    <m/>
    <m/>
  </r>
  <r>
    <n v="45"/>
    <x v="1"/>
    <s v="Non-Travel"/>
    <n v="805"/>
    <x v="1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m/>
    <m/>
    <m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m/>
    <m/>
    <m/>
  </r>
  <r>
    <n v="35"/>
    <x v="1"/>
    <s v="Travel_Rarely"/>
    <n v="1219"/>
    <x v="0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m/>
    <m/>
    <m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m/>
    <m/>
    <m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m/>
    <m/>
    <m/>
  </r>
  <r>
    <n v="53"/>
    <x v="1"/>
    <s v="Travel_Rarely"/>
    <n v="1376"/>
    <x v="0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m/>
    <m/>
    <m/>
  </r>
  <r>
    <n v="30"/>
    <x v="1"/>
    <s v="Travel_Rarely"/>
    <n v="231"/>
    <x v="0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m/>
    <m/>
    <m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m/>
    <m/>
    <m/>
  </r>
  <r>
    <n v="35"/>
    <x v="1"/>
    <s v="Travel_Rarely"/>
    <n v="882"/>
    <x v="0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m/>
    <m/>
    <m/>
  </r>
  <r>
    <n v="39"/>
    <x v="1"/>
    <s v="Travel_Rarely"/>
    <n v="903"/>
    <x v="0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m/>
    <m/>
    <m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m/>
    <m/>
    <m/>
  </r>
  <r>
    <n v="47"/>
    <x v="1"/>
    <s v="Travel_Frequently"/>
    <n v="1379"/>
    <x v="1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m/>
    <m/>
    <m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m/>
    <m/>
    <m/>
  </r>
  <r>
    <n v="31"/>
    <x v="0"/>
    <s v="Non-Travel"/>
    <n v="335"/>
    <x v="1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m/>
    <m/>
    <m/>
  </r>
  <r>
    <n v="33"/>
    <x v="1"/>
    <s v="Non-Travel"/>
    <n v="722"/>
    <x v="0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m/>
    <m/>
    <m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m/>
    <m/>
    <m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m/>
    <m/>
    <m/>
  </r>
  <r>
    <n v="45"/>
    <x v="1"/>
    <s v="Travel_Rarely"/>
    <n v="974"/>
    <x v="1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m/>
    <m/>
    <m/>
  </r>
  <r>
    <n v="50"/>
    <x v="1"/>
    <s v="Travel_Rarely"/>
    <n v="1126"/>
    <x v="1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m/>
    <m/>
    <m/>
  </r>
  <r>
    <n v="33"/>
    <x v="1"/>
    <s v="Travel_Frequently"/>
    <n v="827"/>
    <x v="1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m/>
    <m/>
    <m/>
  </r>
  <r>
    <n v="41"/>
    <x v="1"/>
    <s v="Travel_Frequently"/>
    <n v="840"/>
    <x v="1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m/>
    <m/>
    <m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m/>
    <m/>
    <m/>
  </r>
  <r>
    <n v="45"/>
    <x v="1"/>
    <s v="Non-Travel"/>
    <n v="248"/>
    <x v="1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m/>
    <m/>
    <m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m/>
    <m/>
    <m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m/>
    <m/>
    <m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m/>
    <m/>
    <m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m/>
    <m/>
    <m/>
  </r>
  <r>
    <n v="46"/>
    <x v="1"/>
    <s v="Travel_Rarely"/>
    <n v="566"/>
    <x v="1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m/>
    <m/>
    <m/>
  </r>
  <r>
    <n v="24"/>
    <x v="1"/>
    <s v="Travel_Rarely"/>
    <n v="1206"/>
    <x v="1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m/>
    <m/>
    <m/>
  </r>
  <r>
    <n v="35"/>
    <x v="0"/>
    <s v="Travel_Rarely"/>
    <n v="622"/>
    <x v="1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m/>
    <m/>
    <m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m/>
    <m/>
    <m/>
  </r>
  <r>
    <n v="18"/>
    <x v="1"/>
    <s v="Non-Travel"/>
    <n v="287"/>
    <x v="1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m/>
    <m/>
    <m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m/>
    <m/>
    <m/>
  </r>
  <r>
    <n v="35"/>
    <x v="1"/>
    <s v="Travel_Rarely"/>
    <n v="583"/>
    <x v="1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m/>
    <m/>
    <m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m/>
    <m/>
    <m/>
  </r>
  <r>
    <n v="20"/>
    <x v="0"/>
    <s v="Travel_Rarely"/>
    <n v="1097"/>
    <x v="1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m/>
    <m/>
    <m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m/>
    <m/>
    <m/>
  </r>
  <r>
    <n v="26"/>
    <x v="1"/>
    <s v="Travel_Rarely"/>
    <n v="1066"/>
    <x v="1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m/>
    <m/>
    <m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m/>
    <m/>
    <m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m/>
    <m/>
    <m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m/>
    <m/>
    <m/>
  </r>
  <r>
    <n v="41"/>
    <x v="1"/>
    <s v="Travel_Rarely"/>
    <n v="549"/>
    <x v="1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m/>
    <m/>
    <m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m/>
    <m/>
    <m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m/>
    <m/>
    <m/>
  </r>
  <r>
    <n v="35"/>
    <x v="1"/>
    <s v="Travel_Rarely"/>
    <n v="802"/>
    <x v="1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m/>
    <m/>
    <m/>
  </r>
  <r>
    <n v="42"/>
    <x v="1"/>
    <s v="Travel_Rarely"/>
    <n v="265"/>
    <x v="0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m/>
    <m/>
    <m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m/>
    <m/>
    <m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m/>
    <m/>
    <m/>
  </r>
  <r>
    <n v="37"/>
    <x v="0"/>
    <s v="Travel_Rarely"/>
    <n v="1141"/>
    <x v="1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m/>
    <m/>
    <m/>
  </r>
  <r>
    <n v="55"/>
    <x v="1"/>
    <s v="Travel_Frequently"/>
    <n v="135"/>
    <x v="1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m/>
    <m/>
    <m/>
  </r>
  <r>
    <n v="41"/>
    <x v="1"/>
    <s v="Non-Travel"/>
    <n v="247"/>
    <x v="1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m/>
    <m/>
    <m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m/>
    <m/>
    <m/>
  </r>
  <r>
    <n v="26"/>
    <x v="0"/>
    <s v="Non-Travel"/>
    <n v="265"/>
    <x v="0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m/>
    <m/>
    <m/>
  </r>
  <r>
    <n v="52"/>
    <x v="0"/>
    <s v="Travel_Rarely"/>
    <n v="266"/>
    <x v="0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m/>
    <m/>
    <m/>
  </r>
  <r>
    <n v="44"/>
    <x v="1"/>
    <s v="Travel_Rarely"/>
    <n v="1448"/>
    <x v="0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m/>
    <m/>
    <m/>
  </r>
  <r>
    <n v="50"/>
    <x v="1"/>
    <s v="Non-Travel"/>
    <n v="145"/>
    <x v="0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m/>
    <m/>
    <m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m/>
    <m/>
    <m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m/>
    <m/>
    <m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m/>
    <m/>
    <m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m/>
    <m/>
    <m/>
  </r>
  <r>
    <n v="32"/>
    <x v="1"/>
    <s v="Non-Travel"/>
    <n v="1109"/>
    <x v="1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m/>
    <m/>
    <m/>
  </r>
  <r>
    <n v="34"/>
    <x v="1"/>
    <s v="Travel_Rarely"/>
    <n v="216"/>
    <x v="0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m/>
    <m/>
    <m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m/>
    <m/>
    <m/>
  </r>
  <r>
    <n v="45"/>
    <x v="1"/>
    <s v="Travel_Rarely"/>
    <n v="788"/>
    <x v="2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m/>
    <m/>
    <m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m/>
    <m/>
    <m/>
  </r>
  <r>
    <n v="36"/>
    <x v="0"/>
    <s v="Travel_Rarely"/>
    <n v="660"/>
    <x v="1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m/>
    <m/>
    <m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m/>
    <m/>
    <m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m/>
    <m/>
    <m/>
  </r>
  <r>
    <n v="28"/>
    <x v="1"/>
    <s v="Travel_Rarely"/>
    <n v="1144"/>
    <x v="0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m/>
    <m/>
    <m/>
  </r>
  <r>
    <n v="38"/>
    <x v="1"/>
    <s v="Travel_Frequently"/>
    <n v="1186"/>
    <x v="1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m/>
    <m/>
    <m/>
  </r>
  <r>
    <n v="50"/>
    <x v="1"/>
    <s v="Travel_Rarely"/>
    <n v="1464"/>
    <x v="1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m/>
    <m/>
    <m/>
  </r>
  <r>
    <n v="37"/>
    <x v="1"/>
    <s v="Travel_Rarely"/>
    <n v="124"/>
    <x v="1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m/>
    <m/>
    <m/>
  </r>
  <r>
    <n v="40"/>
    <x v="1"/>
    <s v="Travel_Rarely"/>
    <n v="300"/>
    <x v="0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m/>
    <m/>
    <m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m/>
    <m/>
    <m/>
  </r>
  <r>
    <n v="46"/>
    <x v="1"/>
    <s v="Travel_Rarely"/>
    <n v="430"/>
    <x v="1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m/>
    <m/>
    <m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m/>
    <m/>
    <m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m/>
    <m/>
    <m/>
  </r>
  <r>
    <n v="36"/>
    <x v="1"/>
    <s v="Travel_Rarely"/>
    <n v="796"/>
    <x v="1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m/>
    <m/>
    <m/>
  </r>
  <r>
    <n v="55"/>
    <x v="1"/>
    <s v="Non-Travel"/>
    <n v="444"/>
    <x v="1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m/>
    <m/>
    <m/>
  </r>
  <r>
    <n v="43"/>
    <x v="1"/>
    <s v="Travel_Rarely"/>
    <n v="415"/>
    <x v="0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m/>
    <m/>
    <m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m/>
    <m/>
    <m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m/>
    <m/>
    <m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m/>
    <m/>
    <m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m/>
    <m/>
    <m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m/>
    <m/>
    <m/>
  </r>
  <r>
    <n v="26"/>
    <x v="1"/>
    <s v="Travel_Rarely"/>
    <n v="192"/>
    <x v="1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m/>
    <m/>
    <m/>
  </r>
  <r>
    <n v="30"/>
    <x v="1"/>
    <s v="Travel_Rarely"/>
    <n v="1176"/>
    <x v="1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m/>
    <m/>
    <m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m/>
    <m/>
    <m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m/>
    <m/>
    <m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m/>
    <m/>
    <m/>
  </r>
  <r>
    <n v="27"/>
    <x v="1"/>
    <s v="Non-Travel"/>
    <n v="1277"/>
    <x v="1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m/>
    <m/>
    <m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m/>
    <m/>
    <m/>
  </r>
  <r>
    <n v="28"/>
    <x v="1"/>
    <s v="Travel_Rarely"/>
    <n v="857"/>
    <x v="1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m/>
    <m/>
    <m/>
  </r>
  <r>
    <n v="44"/>
    <x v="0"/>
    <s v="Travel_Rarely"/>
    <n v="1376"/>
    <x v="2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m/>
    <m/>
    <m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m/>
    <m/>
    <m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m/>
    <m/>
    <m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m/>
    <m/>
    <m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m/>
    <m/>
    <m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m/>
    <m/>
    <m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m/>
    <m/>
    <m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m/>
    <m/>
    <m/>
  </r>
  <r>
    <n v="26"/>
    <x v="0"/>
    <s v="Travel_Rarely"/>
    <n v="1330"/>
    <x v="1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m/>
    <m/>
    <m/>
  </r>
  <r>
    <n v="33"/>
    <x v="0"/>
    <s v="Travel_Rarely"/>
    <n v="1017"/>
    <x v="1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m/>
    <m/>
    <m/>
  </r>
  <r>
    <n v="42"/>
    <x v="1"/>
    <s v="Travel_Rarely"/>
    <n v="469"/>
    <x v="1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m/>
    <m/>
    <m/>
  </r>
  <r>
    <n v="28"/>
    <x v="0"/>
    <s v="Travel_Frequently"/>
    <n v="1009"/>
    <x v="1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m/>
    <m/>
    <m/>
  </r>
  <r>
    <n v="50"/>
    <x v="0"/>
    <s v="Travel_Frequently"/>
    <n v="959"/>
    <x v="0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m/>
    <m/>
    <m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m/>
    <m/>
    <m/>
  </r>
  <r>
    <n v="34"/>
    <x v="1"/>
    <s v="Non-Travel"/>
    <n v="697"/>
    <x v="1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m/>
    <m/>
    <m/>
  </r>
  <r>
    <n v="48"/>
    <x v="1"/>
    <s v="Non-Travel"/>
    <n v="1262"/>
    <x v="1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m/>
    <m/>
    <m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m/>
    <m/>
    <m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m/>
    <m/>
    <m/>
  </r>
  <r>
    <n v="38"/>
    <x v="1"/>
    <s v="Travel_Rarely"/>
    <n v="770"/>
    <x v="0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m/>
    <m/>
    <m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m/>
    <m/>
    <m/>
  </r>
  <r>
    <n v="28"/>
    <x v="1"/>
    <s v="Travel_Rarely"/>
    <n v="950"/>
    <x v="1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m/>
    <m/>
    <m/>
  </r>
  <r>
    <n v="46"/>
    <x v="1"/>
    <s v="Travel_Rarely"/>
    <n v="406"/>
    <x v="0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m/>
    <m/>
    <m/>
  </r>
  <r>
    <n v="38"/>
    <x v="1"/>
    <s v="Travel_Rarely"/>
    <n v="130"/>
    <x v="0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m/>
    <m/>
    <m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m/>
    <m/>
    <m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m/>
    <m/>
    <m/>
  </r>
  <r>
    <n v="40"/>
    <x v="1"/>
    <s v="Travel_Rarely"/>
    <n v="1308"/>
    <x v="1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m/>
    <m/>
    <m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m/>
    <m/>
    <m/>
  </r>
  <r>
    <n v="39"/>
    <x v="1"/>
    <s v="Non-Travel"/>
    <n v="439"/>
    <x v="1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m/>
    <m/>
    <m/>
  </r>
  <r>
    <n v="36"/>
    <x v="1"/>
    <s v="Non-Travel"/>
    <n v="217"/>
    <x v="1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m/>
    <m/>
    <m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m/>
    <m/>
    <m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m/>
    <m/>
    <m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m/>
    <m/>
    <m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m/>
    <m/>
    <m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m/>
    <m/>
    <m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m/>
    <m/>
    <m/>
  </r>
  <r>
    <n v="42"/>
    <x v="1"/>
    <s v="Travel_Rarely"/>
    <n v="188"/>
    <x v="1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m/>
    <m/>
    <m/>
  </r>
  <r>
    <n v="29"/>
    <x v="1"/>
    <s v="Travel_Rarely"/>
    <n v="718"/>
    <x v="1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m/>
    <m/>
    <m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m/>
    <m/>
    <m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m/>
    <m/>
    <m/>
  </r>
  <r>
    <n v="18"/>
    <x v="0"/>
    <s v="Non-Travel"/>
    <n v="247"/>
    <x v="1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m/>
    <m/>
    <m/>
  </r>
  <r>
    <n v="33"/>
    <x v="0"/>
    <s v="Travel_Rarely"/>
    <n v="603"/>
    <x v="0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m/>
    <m/>
    <m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m/>
    <m/>
    <m/>
  </r>
  <r>
    <n v="31"/>
    <x v="0"/>
    <s v="Travel_Frequently"/>
    <n v="874"/>
    <x v="1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m/>
    <m/>
    <m/>
  </r>
  <r>
    <n v="37"/>
    <x v="1"/>
    <s v="Travel_Rarely"/>
    <n v="367"/>
    <x v="1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m/>
    <m/>
    <m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m/>
    <m/>
    <m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m/>
    <m/>
    <m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m/>
    <m/>
    <m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m/>
    <m/>
    <m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m/>
    <m/>
    <m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m/>
    <m/>
    <m/>
  </r>
  <r>
    <n v="42"/>
    <x v="1"/>
    <s v="Travel_Rarely"/>
    <n v="647"/>
    <x v="0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m/>
    <m/>
    <m/>
  </r>
  <r>
    <n v="35"/>
    <x v="1"/>
    <s v="Travel_Rarely"/>
    <n v="982"/>
    <x v="1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m/>
    <m/>
    <m/>
  </r>
  <r>
    <n v="24"/>
    <x v="1"/>
    <s v="Travel_Rarely"/>
    <n v="477"/>
    <x v="1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m/>
    <m/>
    <m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m/>
    <m/>
    <m/>
  </r>
  <r>
    <n v="26"/>
    <x v="1"/>
    <s v="Travel_Rarely"/>
    <n v="1384"/>
    <x v="1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m/>
    <m/>
    <m/>
  </r>
  <r>
    <n v="30"/>
    <x v="1"/>
    <s v="Travel_Rarely"/>
    <n v="852"/>
    <x v="0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m/>
    <m/>
    <m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m/>
    <m/>
    <m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m/>
    <m/>
    <m/>
  </r>
  <r>
    <n v="34"/>
    <x v="1"/>
    <s v="Travel_Frequently"/>
    <n v="669"/>
    <x v="1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m/>
    <m/>
    <m/>
  </r>
  <r>
    <n v="35"/>
    <x v="1"/>
    <s v="Travel_Frequently"/>
    <n v="636"/>
    <x v="1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m/>
    <m/>
    <m/>
  </r>
  <r>
    <n v="43"/>
    <x v="0"/>
    <s v="Travel_Rarely"/>
    <n v="1372"/>
    <x v="0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m/>
    <m/>
    <m/>
  </r>
  <r>
    <n v="32"/>
    <x v="1"/>
    <s v="Non-Travel"/>
    <n v="862"/>
    <x v="0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m/>
    <m/>
    <m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m/>
    <m/>
    <m/>
  </r>
  <r>
    <n v="29"/>
    <x v="1"/>
    <s v="Travel_Rarely"/>
    <n v="1401"/>
    <x v="1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m/>
    <m/>
    <m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m/>
    <m/>
    <m/>
  </r>
  <r>
    <n v="45"/>
    <x v="1"/>
    <s v="Travel_Rarely"/>
    <n v="1457"/>
    <x v="1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m/>
    <m/>
    <m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m/>
    <m/>
    <m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m/>
    <m/>
    <m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m/>
    <m/>
    <m/>
  </r>
  <r>
    <n v="53"/>
    <x v="1"/>
    <s v="Travel_Rarely"/>
    <n v="1223"/>
    <x v="1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m/>
    <m/>
    <m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m/>
    <m/>
    <m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m/>
    <m/>
    <m/>
  </r>
  <r>
    <n v="46"/>
    <x v="1"/>
    <s v="Travel_Rarely"/>
    <n v="1402"/>
    <x v="0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m/>
    <m/>
    <m/>
  </r>
  <r>
    <n v="44"/>
    <x v="1"/>
    <s v="Non-Travel"/>
    <n v="111"/>
    <x v="1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m/>
    <m/>
    <m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m/>
    <m/>
    <m/>
  </r>
  <r>
    <n v="41"/>
    <x v="0"/>
    <s v="Non-Travel"/>
    <n v="906"/>
    <x v="1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m/>
    <m/>
    <m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m/>
    <m/>
    <m/>
  </r>
  <r>
    <n v="40"/>
    <x v="1"/>
    <s v="Travel_Frequently"/>
    <n v="1184"/>
    <x v="0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m/>
    <m/>
    <m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m/>
    <m/>
    <m/>
  </r>
  <r>
    <n v="28"/>
    <x v="1"/>
    <s v="Travel_Rarely"/>
    <n v="1179"/>
    <x v="1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m/>
    <m/>
    <m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m/>
    <m/>
    <m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m/>
    <m/>
    <m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m/>
    <m/>
    <m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m/>
    <m/>
    <m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m/>
    <m/>
    <m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m/>
    <m/>
    <m/>
  </r>
  <r>
    <n v="44"/>
    <x v="1"/>
    <s v="Travel_Rarely"/>
    <n v="200"/>
    <x v="1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m/>
    <m/>
    <m/>
  </r>
  <r>
    <n v="20"/>
    <x v="1"/>
    <s v="Travel_Rarely"/>
    <n v="654"/>
    <x v="0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m/>
    <m/>
    <m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m/>
    <m/>
    <m/>
  </r>
  <r>
    <n v="42"/>
    <x v="1"/>
    <s v="Non-Travel"/>
    <n v="179"/>
    <x v="2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m/>
    <m/>
    <m/>
  </r>
  <r>
    <n v="60"/>
    <x v="1"/>
    <s v="Travel_Rarely"/>
    <n v="696"/>
    <x v="0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m/>
    <m/>
    <m/>
  </r>
  <r>
    <n v="32"/>
    <x v="1"/>
    <s v="Travel_Frequently"/>
    <n v="116"/>
    <x v="1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m/>
    <m/>
    <m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m/>
    <m/>
    <m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m/>
    <m/>
    <m/>
  </r>
  <r>
    <n v="33"/>
    <x v="1"/>
    <s v="Travel_Rarely"/>
    <n v="117"/>
    <x v="1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m/>
    <m/>
    <m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m/>
    <m/>
    <m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m/>
    <m/>
    <m/>
  </r>
  <r>
    <n v="30"/>
    <x v="1"/>
    <s v="Travel_Rarely"/>
    <n v="1465"/>
    <x v="1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m/>
    <m/>
    <m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m/>
    <m/>
    <m/>
  </r>
  <r>
    <n v="35"/>
    <x v="1"/>
    <s v="Non-Travel"/>
    <n v="1212"/>
    <x v="0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m/>
    <m/>
    <m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m/>
    <m/>
    <m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m/>
    <m/>
    <m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m/>
    <m/>
    <m/>
  </r>
  <r>
    <n v="19"/>
    <x v="0"/>
    <s v="Non-Travel"/>
    <n v="504"/>
    <x v="1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m/>
    <m/>
    <m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m/>
    <m/>
    <m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m/>
    <m/>
    <m/>
  </r>
  <r>
    <n v="31"/>
    <x v="1"/>
    <s v="Travel_Rarely"/>
    <n v="1332"/>
    <x v="1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m/>
    <m/>
    <m/>
  </r>
  <r>
    <n v="31"/>
    <x v="1"/>
    <s v="Travel_Rarely"/>
    <n v="1062"/>
    <x v="1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m/>
    <m/>
    <m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m/>
    <m/>
    <m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m/>
    <m/>
    <m/>
  </r>
  <r>
    <n v="49"/>
    <x v="1"/>
    <s v="Travel_Rarely"/>
    <n v="1098"/>
    <x v="1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m/>
    <m/>
    <m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m/>
    <m/>
    <m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m/>
    <m/>
    <m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m/>
    <m/>
    <m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m/>
    <m/>
    <m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m/>
    <m/>
    <m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m/>
    <m/>
    <m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m/>
    <m/>
    <m/>
  </r>
  <r>
    <n v="44"/>
    <x v="1"/>
    <s v="Travel_Rarely"/>
    <n v="1099"/>
    <x v="0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m/>
    <m/>
    <m/>
  </r>
  <r>
    <n v="33"/>
    <x v="1"/>
    <s v="Travel_Rarely"/>
    <n v="536"/>
    <x v="0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m/>
    <m/>
    <m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m/>
    <m/>
    <m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m/>
    <m/>
    <m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m/>
    <m/>
    <m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m/>
    <m/>
    <m/>
  </r>
  <r>
    <n v="45"/>
    <x v="0"/>
    <s v="Travel_Rarely"/>
    <n v="1449"/>
    <x v="0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m/>
    <m/>
    <m/>
  </r>
  <r>
    <n v="55"/>
    <x v="1"/>
    <s v="Non-Travel"/>
    <n v="177"/>
    <x v="1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m/>
    <m/>
    <m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m/>
    <m/>
    <m/>
  </r>
  <r>
    <n v="46"/>
    <x v="1"/>
    <s v="Travel_Rarely"/>
    <n v="168"/>
    <x v="0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m/>
    <m/>
    <m/>
  </r>
  <r>
    <n v="34"/>
    <x v="1"/>
    <s v="Travel_Rarely"/>
    <n v="131"/>
    <x v="0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m/>
    <m/>
    <m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m/>
    <m/>
    <m/>
  </r>
  <r>
    <n v="59"/>
    <x v="1"/>
    <s v="Travel_Rarely"/>
    <n v="1429"/>
    <x v="1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m/>
    <m/>
    <m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m/>
    <m/>
    <m/>
  </r>
  <r>
    <n v="28"/>
    <x v="1"/>
    <s v="Travel_Frequently"/>
    <n v="791"/>
    <x v="1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m/>
    <m/>
    <m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m/>
    <m/>
    <m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m/>
    <m/>
    <m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m/>
    <m/>
    <m/>
  </r>
  <r>
    <n v="42"/>
    <x v="1"/>
    <s v="Travel_Rarely"/>
    <n v="603"/>
    <x v="1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m/>
    <m/>
    <m/>
  </r>
  <r>
    <n v="43"/>
    <x v="1"/>
    <s v="Travel_Rarely"/>
    <n v="531"/>
    <x v="0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m/>
    <m/>
    <m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m/>
    <m/>
    <m/>
  </r>
  <r>
    <n v="44"/>
    <x v="0"/>
    <s v="Travel_Rarely"/>
    <n v="621"/>
    <x v="1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m/>
    <m/>
    <m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m/>
    <m/>
    <m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m/>
    <m/>
    <m/>
  </r>
  <r>
    <n v="30"/>
    <x v="1"/>
    <s v="Non-Travel"/>
    <n v="879"/>
    <x v="1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m/>
    <m/>
    <m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m/>
    <m/>
    <m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m/>
    <m/>
    <m/>
  </r>
  <r>
    <n v="25"/>
    <x v="1"/>
    <s v="Travel_Rarely"/>
    <n v="266"/>
    <x v="1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m/>
    <m/>
    <m/>
  </r>
  <r>
    <n v="32"/>
    <x v="1"/>
    <s v="Travel_Rarely"/>
    <n v="604"/>
    <x v="0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m/>
    <m/>
    <m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m/>
    <m/>
    <m/>
  </r>
  <r>
    <n v="39"/>
    <x v="1"/>
    <s v="Travel_Rarely"/>
    <n v="412"/>
    <x v="1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m/>
    <m/>
    <m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m/>
    <m/>
    <m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m/>
    <m/>
    <m/>
  </r>
  <r>
    <n v="39"/>
    <x v="0"/>
    <s v="Travel_Rarely"/>
    <n v="360"/>
    <x v="1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m/>
    <m/>
    <m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m/>
    <m/>
    <m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m/>
    <m/>
    <m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m/>
    <m/>
    <m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m/>
    <m/>
    <m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m/>
    <m/>
    <m/>
  </r>
  <r>
    <n v="40"/>
    <x v="0"/>
    <s v="Travel_Rarely"/>
    <n v="299"/>
    <x v="0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m/>
    <m/>
    <m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m/>
    <m/>
    <m/>
  </r>
  <r>
    <n v="30"/>
    <x v="1"/>
    <s v="Travel_Rarely"/>
    <n v="634"/>
    <x v="1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m/>
    <m/>
    <m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m/>
    <m/>
    <m/>
  </r>
  <r>
    <n v="31"/>
    <x v="1"/>
    <s v="Non-Travel"/>
    <n v="587"/>
    <x v="0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m/>
    <m/>
    <m/>
  </r>
  <r>
    <n v="41"/>
    <x v="1"/>
    <s v="Non-Travel"/>
    <n v="256"/>
    <x v="0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m/>
    <m/>
    <m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m/>
    <m/>
    <m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m/>
    <m/>
    <m/>
  </r>
  <r>
    <n v="42"/>
    <x v="1"/>
    <s v="Non-Travel"/>
    <n v="495"/>
    <x v="1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m/>
    <m/>
    <m/>
  </r>
  <r>
    <n v="55"/>
    <x v="1"/>
    <s v="Travel_Rarely"/>
    <n v="282"/>
    <x v="1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m/>
    <m/>
    <m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m/>
    <m/>
    <m/>
  </r>
  <r>
    <n v="40"/>
    <x v="1"/>
    <s v="Non-Travel"/>
    <n v="458"/>
    <x v="1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m/>
    <m/>
    <m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m/>
    <m/>
    <m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m/>
    <m/>
    <m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m/>
    <m/>
    <m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m/>
    <m/>
    <m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m/>
    <m/>
    <m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m/>
    <m/>
    <m/>
  </r>
  <r>
    <n v="34"/>
    <x v="1"/>
    <s v="Travel_Rarely"/>
    <n v="507"/>
    <x v="0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m/>
    <m/>
    <m/>
  </r>
  <r>
    <n v="25"/>
    <x v="1"/>
    <s v="Travel_Rarely"/>
    <n v="882"/>
    <x v="1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m/>
    <m/>
    <m/>
  </r>
  <r>
    <n v="58"/>
    <x v="0"/>
    <s v="Travel_Rarely"/>
    <n v="601"/>
    <x v="1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m/>
    <m/>
    <m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m/>
    <m/>
    <m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m/>
    <m/>
    <m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m/>
    <m/>
    <m/>
  </r>
  <r>
    <n v="27"/>
    <x v="1"/>
    <s v="Travel_Rarely"/>
    <n v="1291"/>
    <x v="0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m/>
    <m/>
    <m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m/>
    <m/>
    <m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m/>
    <m/>
    <m/>
  </r>
  <r>
    <n v="35"/>
    <x v="1"/>
    <s v="Travel_Rarely"/>
    <n v="817"/>
    <x v="1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m/>
    <m/>
    <m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m/>
    <m/>
    <m/>
  </r>
  <r>
    <n v="55"/>
    <x v="0"/>
    <s v="Travel_Rarely"/>
    <n v="267"/>
    <x v="0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m/>
    <m/>
    <m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m/>
    <m/>
    <m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m/>
    <m/>
    <m/>
  </r>
  <r>
    <n v="40"/>
    <x v="1"/>
    <s v="Travel_Rarely"/>
    <n v="1202"/>
    <x v="1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m/>
    <m/>
    <m/>
  </r>
  <r>
    <n v="34"/>
    <x v="1"/>
    <s v="Travel_Rarely"/>
    <n v="285"/>
    <x v="1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m/>
    <m/>
    <m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m/>
    <m/>
    <m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m/>
    <m/>
    <m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m/>
    <m/>
    <m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m/>
    <m/>
    <m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m/>
    <m/>
    <m/>
  </r>
  <r>
    <n v="31"/>
    <x v="0"/>
    <s v="Travel_Rarely"/>
    <n v="330"/>
    <x v="1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m/>
    <m/>
    <m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m/>
    <m/>
    <m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m/>
    <m/>
    <m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m/>
    <m/>
    <m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m/>
    <m/>
    <m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m/>
    <m/>
    <m/>
  </r>
  <r>
    <n v="32"/>
    <x v="1"/>
    <s v="Travel_Rarely"/>
    <n v="499"/>
    <x v="0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m/>
    <m/>
    <m/>
  </r>
  <r>
    <n v="39"/>
    <x v="1"/>
    <s v="Non-Travel"/>
    <n v="1485"/>
    <x v="1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m/>
    <m/>
    <m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m/>
    <m/>
    <m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m/>
    <m/>
    <m/>
  </r>
  <r>
    <n v="43"/>
    <x v="1"/>
    <s v="Travel_Rarely"/>
    <n v="930"/>
    <x v="1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m/>
    <m/>
    <m/>
  </r>
  <r>
    <n v="27"/>
    <x v="1"/>
    <s v="Travel_Rarely"/>
    <n v="205"/>
    <x v="0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m/>
    <m/>
    <m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m/>
    <m/>
    <m/>
  </r>
  <r>
    <n v="26"/>
    <x v="1"/>
    <s v="Travel_Rarely"/>
    <n v="683"/>
    <x v="1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m/>
    <m/>
    <m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m/>
    <m/>
    <m/>
  </r>
  <r>
    <n v="52"/>
    <x v="1"/>
    <s v="Travel_Rarely"/>
    <n v="258"/>
    <x v="1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m/>
    <m/>
    <m/>
  </r>
  <r>
    <n v="37"/>
    <x v="1"/>
    <s v="Travel_Rarely"/>
    <n v="1462"/>
    <x v="1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m/>
    <m/>
    <m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m/>
    <m/>
    <m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m/>
    <m/>
    <m/>
  </r>
  <r>
    <n v="26"/>
    <x v="1"/>
    <s v="Travel_Rarely"/>
    <n v="652"/>
    <x v="1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m/>
    <m/>
    <m/>
  </r>
  <r>
    <n v="29"/>
    <x v="1"/>
    <s v="Travel_Rarely"/>
    <n v="332"/>
    <x v="2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m/>
    <m/>
    <m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m/>
    <m/>
    <m/>
  </r>
  <r>
    <n v="29"/>
    <x v="0"/>
    <s v="Travel_Frequently"/>
    <n v="337"/>
    <x v="1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m/>
    <m/>
    <m/>
  </r>
  <r>
    <n v="54"/>
    <x v="1"/>
    <s v="Travel_Rarely"/>
    <n v="971"/>
    <x v="1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m/>
    <m/>
    <m/>
  </r>
  <r>
    <n v="58"/>
    <x v="1"/>
    <s v="Travel_Rarely"/>
    <n v="1055"/>
    <x v="1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m/>
    <m/>
    <m/>
  </r>
  <r>
    <n v="55"/>
    <x v="1"/>
    <s v="Travel_Rarely"/>
    <n v="1136"/>
    <x v="1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m/>
    <m/>
    <m/>
  </r>
  <r>
    <n v="36"/>
    <x v="1"/>
    <s v="Travel_Rarely"/>
    <n v="1174"/>
    <x v="0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m/>
    <m/>
    <m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m/>
    <m/>
    <m/>
  </r>
  <r>
    <n v="30"/>
    <x v="1"/>
    <s v="Travel_Rarely"/>
    <n v="855"/>
    <x v="0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m/>
    <m/>
    <m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m/>
    <m/>
    <m/>
  </r>
  <r>
    <n v="34"/>
    <x v="1"/>
    <s v="Travel_Frequently"/>
    <n v="560"/>
    <x v="1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m/>
    <m/>
    <m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m/>
    <m/>
    <m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m/>
    <m/>
    <m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m/>
    <m/>
    <m/>
  </r>
  <r>
    <n v="36"/>
    <x v="1"/>
    <s v="Travel_Rarely"/>
    <n v="329"/>
    <x v="0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m/>
    <m/>
    <m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m/>
    <m/>
    <m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m/>
    <m/>
    <m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m/>
    <m/>
    <m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m/>
    <m/>
    <m/>
  </r>
  <r>
    <n v="47"/>
    <x v="1"/>
    <s v="Travel_Rarely"/>
    <n v="359"/>
    <x v="1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m/>
    <m/>
    <m/>
  </r>
  <r>
    <n v="24"/>
    <x v="1"/>
    <s v="Travel_Rarely"/>
    <n v="1476"/>
    <x v="0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m/>
    <m/>
    <m/>
  </r>
  <r>
    <n v="32"/>
    <x v="1"/>
    <s v="Travel_Rarely"/>
    <n v="601"/>
    <x v="0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m/>
    <m/>
    <m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m/>
    <m/>
    <m/>
  </r>
  <r>
    <n v="41"/>
    <x v="1"/>
    <s v="Travel_Rarely"/>
    <n v="1283"/>
    <x v="1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m/>
    <m/>
    <m/>
  </r>
  <r>
    <n v="40"/>
    <x v="1"/>
    <s v="Non-Travel"/>
    <n v="663"/>
    <x v="1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m/>
    <m/>
    <m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m/>
    <m/>
    <m/>
  </r>
  <r>
    <n v="46"/>
    <x v="0"/>
    <s v="Travel_Rarely"/>
    <n v="377"/>
    <x v="0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m/>
    <m/>
    <m/>
  </r>
  <r>
    <n v="39"/>
    <x v="0"/>
    <s v="Non-Travel"/>
    <n v="592"/>
    <x v="1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m/>
    <m/>
    <m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m/>
    <m/>
    <m/>
  </r>
  <r>
    <n v="45"/>
    <x v="1"/>
    <s v="Travel_Rarely"/>
    <n v="1038"/>
    <x v="1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m/>
    <m/>
    <m/>
  </r>
  <r>
    <n v="31"/>
    <x v="1"/>
    <s v="Travel_Rarely"/>
    <n v="1398"/>
    <x v="2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m/>
    <m/>
    <m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m/>
    <m/>
    <m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m/>
    <m/>
    <m/>
  </r>
  <r>
    <n v="48"/>
    <x v="1"/>
    <s v="Travel_Rarely"/>
    <n v="1221"/>
    <x v="0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m/>
    <m/>
    <m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m/>
    <m/>
    <m/>
  </r>
  <r>
    <n v="40"/>
    <x v="1"/>
    <s v="Non-Travel"/>
    <n v="218"/>
    <x v="1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m/>
    <m/>
    <m/>
  </r>
  <r>
    <n v="28"/>
    <x v="1"/>
    <s v="Travel_Rarely"/>
    <n v="866"/>
    <x v="0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m/>
    <m/>
    <m/>
  </r>
  <r>
    <n v="44"/>
    <x v="1"/>
    <s v="Non-Travel"/>
    <n v="981"/>
    <x v="1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m/>
    <m/>
    <m/>
  </r>
  <r>
    <n v="53"/>
    <x v="1"/>
    <s v="Travel_Rarely"/>
    <n v="447"/>
    <x v="1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m/>
    <m/>
    <m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m/>
    <m/>
    <m/>
  </r>
  <r>
    <n v="40"/>
    <x v="1"/>
    <s v="Travel_Rarely"/>
    <n v="896"/>
    <x v="1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m/>
    <m/>
    <m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m/>
    <m/>
    <m/>
  </r>
  <r>
    <n v="33"/>
    <x v="1"/>
    <s v="Travel_Frequently"/>
    <n v="430"/>
    <x v="0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m/>
    <m/>
    <m/>
  </r>
  <r>
    <n v="34"/>
    <x v="1"/>
    <s v="Travel_Rarely"/>
    <n v="1326"/>
    <x v="0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m/>
    <m/>
    <m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m/>
    <m/>
    <m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m/>
    <m/>
    <m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m/>
    <m/>
    <m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m/>
    <m/>
    <m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m/>
    <m/>
    <m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m/>
    <m/>
    <m/>
  </r>
  <r>
    <n v="34"/>
    <x v="1"/>
    <s v="Travel_Frequently"/>
    <n v="829"/>
    <x v="1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m/>
    <m/>
    <m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m/>
    <m/>
    <m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m/>
    <m/>
    <m/>
  </r>
  <r>
    <n v="34"/>
    <x v="0"/>
    <s v="Travel_Rarely"/>
    <n v="790"/>
    <x v="0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m/>
    <m/>
    <m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m/>
    <m/>
    <m/>
  </r>
  <r>
    <n v="24"/>
    <x v="0"/>
    <s v="Travel_Frequently"/>
    <n v="381"/>
    <x v="1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m/>
    <m/>
    <m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m/>
    <m/>
    <m/>
  </r>
  <r>
    <n v="44"/>
    <x v="1"/>
    <s v="Travel_Frequently"/>
    <n v="1193"/>
    <x v="1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m/>
    <m/>
    <m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m/>
    <m/>
    <m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m/>
    <m/>
    <m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m/>
    <m/>
    <m/>
  </r>
  <r>
    <n v="33"/>
    <x v="1"/>
    <s v="Travel_Rarely"/>
    <n v="1099"/>
    <x v="1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m/>
    <m/>
    <m/>
  </r>
  <r>
    <n v="47"/>
    <x v="1"/>
    <s v="Travel_Rarely"/>
    <n v="571"/>
    <x v="0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m/>
    <m/>
    <m/>
  </r>
  <r>
    <n v="28"/>
    <x v="0"/>
    <s v="Travel_Frequently"/>
    <n v="289"/>
    <x v="1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m/>
    <m/>
    <m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m/>
    <m/>
    <m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m/>
    <m/>
    <m/>
  </r>
  <r>
    <n v="49"/>
    <x v="1"/>
    <s v="Travel_Rarely"/>
    <n v="271"/>
    <x v="1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m/>
    <m/>
    <m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m/>
    <m/>
    <m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m/>
    <m/>
    <m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m/>
    <m/>
    <m/>
  </r>
  <r>
    <n v="32"/>
    <x v="1"/>
    <s v="Travel_Rarely"/>
    <n v="495"/>
    <x v="1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m/>
    <m/>
    <m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m/>
    <m/>
    <m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m/>
    <m/>
    <m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m/>
    <m/>
    <m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m/>
    <m/>
    <m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m/>
    <m/>
    <m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m/>
    <m/>
    <m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m/>
    <m/>
    <m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m/>
    <m/>
    <m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m/>
    <m/>
    <m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m/>
    <m/>
    <m/>
  </r>
  <r>
    <n v="50"/>
    <x v="1"/>
    <s v="Travel_Frequently"/>
    <n v="333"/>
    <x v="1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m/>
    <m/>
    <m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m/>
    <m/>
    <m/>
  </r>
  <r>
    <n v="42"/>
    <x v="1"/>
    <s v="Travel_Rarely"/>
    <n v="1210"/>
    <x v="1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m/>
    <m/>
    <m/>
  </r>
  <r>
    <n v="37"/>
    <x v="1"/>
    <s v="Travel_Rarely"/>
    <n v="674"/>
    <x v="1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m/>
    <m/>
    <m/>
  </r>
  <r>
    <n v="29"/>
    <x v="1"/>
    <s v="Travel_Rarely"/>
    <n v="441"/>
    <x v="1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m/>
    <m/>
    <m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m/>
    <m/>
    <m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m/>
    <m/>
    <m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m/>
    <m/>
    <m/>
  </r>
  <r>
    <n v="40"/>
    <x v="1"/>
    <s v="Travel_Rarely"/>
    <n v="1342"/>
    <x v="0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m/>
    <m/>
    <m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m/>
    <m/>
    <m/>
  </r>
  <r>
    <n v="40"/>
    <x v="1"/>
    <s v="Travel_Rarely"/>
    <n v="898"/>
    <x v="2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m/>
    <m/>
    <m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m/>
    <m/>
    <m/>
  </r>
  <r>
    <n v="40"/>
    <x v="1"/>
    <s v="Non-Travel"/>
    <n v="1142"/>
    <x v="1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m/>
    <m/>
    <m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m/>
    <m/>
    <m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m/>
    <m/>
    <m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m/>
    <m/>
    <m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m/>
    <m/>
    <m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m/>
    <m/>
    <m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m/>
    <m/>
    <m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m/>
    <m/>
    <m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m/>
    <m/>
    <m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m/>
    <m/>
    <m/>
  </r>
  <r>
    <n v="35"/>
    <x v="1"/>
    <s v="Travel_Rarely"/>
    <n v="992"/>
    <x v="1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m/>
    <m/>
    <m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m/>
    <m/>
    <m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m/>
    <m/>
    <m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m/>
    <m/>
    <m/>
  </r>
  <r>
    <n v="38"/>
    <x v="0"/>
    <s v="Travel_Rarely"/>
    <n v="903"/>
    <x v="1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m/>
    <m/>
    <m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m/>
    <m/>
    <m/>
  </r>
  <r>
    <n v="48"/>
    <x v="1"/>
    <s v="Travel_Rarely"/>
    <n v="1108"/>
    <x v="1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m/>
    <m/>
    <m/>
  </r>
  <r>
    <n v="34"/>
    <x v="1"/>
    <s v="Travel_Rarely"/>
    <n v="479"/>
    <x v="1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m/>
    <m/>
    <m/>
  </r>
  <r>
    <n v="55"/>
    <x v="1"/>
    <s v="Travel_Rarely"/>
    <n v="685"/>
    <x v="0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m/>
    <m/>
    <m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m/>
    <m/>
    <m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m/>
    <m/>
    <m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m/>
    <m/>
    <m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m/>
    <m/>
    <m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m/>
    <m/>
    <m/>
  </r>
  <r>
    <n v="29"/>
    <x v="1"/>
    <s v="Travel_Rarely"/>
    <n v="1370"/>
    <x v="1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m/>
    <m/>
    <m/>
  </r>
  <r>
    <n v="35"/>
    <x v="1"/>
    <s v="Travel_Rarely"/>
    <n v="670"/>
    <x v="1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m/>
    <m/>
    <m/>
  </r>
  <r>
    <n v="39"/>
    <x v="1"/>
    <s v="Travel_Rarely"/>
    <n v="1462"/>
    <x v="0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m/>
    <m/>
    <m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m/>
    <m/>
    <m/>
  </r>
  <r>
    <n v="50"/>
    <x v="1"/>
    <s v="Travel_Rarely"/>
    <n v="264"/>
    <x v="0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m/>
    <m/>
    <m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m/>
    <m/>
    <m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m/>
    <m/>
    <m/>
  </r>
  <r>
    <n v="42"/>
    <x v="1"/>
    <s v="Travel_Rarely"/>
    <n v="1059"/>
    <x v="1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m/>
    <m/>
    <m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m/>
    <m/>
    <m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m/>
    <m/>
    <m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m/>
    <m/>
    <m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m/>
    <m/>
    <m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m/>
    <m/>
    <m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m/>
    <m/>
    <m/>
  </r>
  <r>
    <n v="28"/>
    <x v="0"/>
    <s v="Travel_Rarely"/>
    <n v="329"/>
    <x v="1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m/>
    <m/>
    <m/>
  </r>
  <r>
    <n v="22"/>
    <x v="1"/>
    <s v="Non-Travel"/>
    <n v="457"/>
    <x v="1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m/>
    <m/>
    <m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m/>
    <m/>
    <m/>
  </r>
  <r>
    <n v="32"/>
    <x v="1"/>
    <s v="Travel_Rarely"/>
    <n v="634"/>
    <x v="1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m/>
    <m/>
    <m/>
  </r>
  <r>
    <n v="44"/>
    <x v="1"/>
    <s v="Travel_Rarely"/>
    <n v="1313"/>
    <x v="1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m/>
    <m/>
    <m/>
  </r>
  <r>
    <n v="30"/>
    <x v="1"/>
    <s v="Travel_Rarely"/>
    <n v="241"/>
    <x v="1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m/>
    <m/>
    <m/>
  </r>
  <r>
    <n v="45"/>
    <x v="1"/>
    <s v="Travel_Rarely"/>
    <n v="1015"/>
    <x v="1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m/>
    <m/>
    <m/>
  </r>
  <r>
    <n v="45"/>
    <x v="1"/>
    <s v="Non-Travel"/>
    <n v="336"/>
    <x v="0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m/>
    <m/>
    <m/>
  </r>
  <r>
    <n v="31"/>
    <x v="1"/>
    <s v="Travel_Frequently"/>
    <n v="715"/>
    <x v="0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m/>
    <m/>
    <m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m/>
    <m/>
    <m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m/>
    <m/>
    <m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m/>
    <m/>
    <m/>
  </r>
  <r>
    <n v="39"/>
    <x v="1"/>
    <s v="Travel_Rarely"/>
    <n v="1387"/>
    <x v="1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m/>
    <m/>
    <m/>
  </r>
  <r>
    <n v="27"/>
    <x v="1"/>
    <s v="Travel_Rarely"/>
    <n v="1302"/>
    <x v="1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m/>
    <m/>
    <m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m/>
    <m/>
    <m/>
  </r>
  <r>
    <n v="28"/>
    <x v="1"/>
    <s v="Travel_Rarely"/>
    <n v="580"/>
    <x v="1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m/>
    <m/>
    <m/>
  </r>
  <r>
    <n v="21"/>
    <x v="1"/>
    <s v="Travel_Rarely"/>
    <n v="546"/>
    <x v="1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m/>
    <m/>
    <m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m/>
    <m/>
    <m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m/>
    <m/>
    <m/>
  </r>
  <r>
    <n v="39"/>
    <x v="1"/>
    <s v="Travel_Rarely"/>
    <n v="170"/>
    <x v="1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m/>
    <m/>
    <m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m/>
    <m/>
    <m/>
  </r>
  <r>
    <n v="35"/>
    <x v="1"/>
    <s v="Non-Travel"/>
    <n v="208"/>
    <x v="1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m/>
    <m/>
    <m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m/>
    <m/>
    <m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m/>
    <m/>
    <m/>
  </r>
  <r>
    <n v="45"/>
    <x v="1"/>
    <s v="Travel_Rarely"/>
    <n v="1329"/>
    <x v="1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m/>
    <m/>
    <m/>
  </r>
  <r>
    <n v="38"/>
    <x v="1"/>
    <s v="Travel_Rarely"/>
    <n v="397"/>
    <x v="1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m/>
    <m/>
    <m/>
  </r>
  <r>
    <n v="35"/>
    <x v="0"/>
    <s v="Travel_Rarely"/>
    <n v="737"/>
    <x v="0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m/>
    <m/>
    <m/>
  </r>
  <r>
    <n v="37"/>
    <x v="1"/>
    <s v="Travel_Rarely"/>
    <n v="1470"/>
    <x v="1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m/>
    <m/>
    <m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m/>
    <m/>
    <m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m/>
    <m/>
    <m/>
  </r>
  <r>
    <n v="48"/>
    <x v="1"/>
    <s v="Travel_Frequently"/>
    <n v="365"/>
    <x v="1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m/>
    <m/>
    <m/>
  </r>
  <r>
    <n v="35"/>
    <x v="0"/>
    <s v="Travel_Rarely"/>
    <n v="763"/>
    <x v="0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m/>
    <m/>
    <m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m/>
    <m/>
    <m/>
  </r>
  <r>
    <n v="27"/>
    <x v="1"/>
    <s v="Travel_Rarely"/>
    <n v="486"/>
    <x v="1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m/>
    <m/>
    <m/>
  </r>
  <r>
    <n v="27"/>
    <x v="1"/>
    <s v="Travel_Frequently"/>
    <n v="591"/>
    <x v="1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m/>
    <m/>
    <m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m/>
    <m/>
    <m/>
  </r>
  <r>
    <n v="29"/>
    <x v="1"/>
    <s v="Travel_Rarely"/>
    <n v="469"/>
    <x v="0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m/>
    <m/>
    <m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m/>
    <m/>
    <m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m/>
    <m/>
    <m/>
  </r>
  <r>
    <n v="39"/>
    <x v="1"/>
    <s v="Travel_Rarely"/>
    <n v="492"/>
    <x v="1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m/>
    <m/>
    <m/>
  </r>
  <r>
    <n v="49"/>
    <x v="1"/>
    <s v="Travel_Rarely"/>
    <n v="301"/>
    <x v="1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m/>
    <m/>
    <m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m/>
    <m/>
    <m/>
  </r>
  <r>
    <n v="20"/>
    <x v="1"/>
    <s v="Travel_Rarely"/>
    <n v="1141"/>
    <x v="0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m/>
    <m/>
    <m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m/>
    <m/>
    <m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m/>
    <m/>
    <m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m/>
    <m/>
    <m/>
  </r>
  <r>
    <n v="36"/>
    <x v="1"/>
    <s v="Non-Travel"/>
    <n v="894"/>
    <x v="1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m/>
    <m/>
    <m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m/>
    <m/>
    <m/>
  </r>
  <r>
    <n v="54"/>
    <x v="1"/>
    <s v="Travel_Rarely"/>
    <n v="584"/>
    <x v="1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m/>
    <m/>
    <m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m/>
    <m/>
    <m/>
  </r>
  <r>
    <n v="35"/>
    <x v="0"/>
    <s v="Travel_Frequently"/>
    <n v="880"/>
    <x v="0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m/>
    <m/>
    <m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m/>
    <m/>
    <m/>
  </r>
  <r>
    <n v="29"/>
    <x v="1"/>
    <s v="Travel_Rarely"/>
    <n v="991"/>
    <x v="0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m/>
    <m/>
    <m/>
  </r>
  <r>
    <n v="33"/>
    <x v="1"/>
    <s v="Travel_Rarely"/>
    <n v="392"/>
    <x v="0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m/>
    <m/>
    <m/>
  </r>
  <r>
    <n v="32"/>
    <x v="1"/>
    <s v="Travel_Rarely"/>
    <n v="977"/>
    <x v="1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m/>
    <m/>
    <m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m/>
    <m/>
    <m/>
  </r>
  <r>
    <n v="49"/>
    <x v="1"/>
    <s v="Travel_Rarely"/>
    <n v="464"/>
    <x v="1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m/>
    <m/>
    <m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m/>
    <m/>
    <m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m/>
    <m/>
    <m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m/>
    <m/>
    <m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m/>
    <m/>
    <m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m/>
    <m/>
    <m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m/>
    <m/>
    <m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m/>
    <m/>
    <m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m/>
    <m/>
    <m/>
  </r>
  <r>
    <n v="23"/>
    <x v="0"/>
    <s v="Travel_Rarely"/>
    <n v="1320"/>
    <x v="1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m/>
    <m/>
    <m/>
  </r>
  <r>
    <n v="38"/>
    <x v="1"/>
    <s v="Travel_Rarely"/>
    <n v="1495"/>
    <x v="1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m/>
    <m/>
    <m/>
  </r>
  <r>
    <n v="53"/>
    <x v="1"/>
    <s v="Travel_Rarely"/>
    <n v="1395"/>
    <x v="1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m/>
    <m/>
    <m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m/>
    <m/>
    <m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m/>
    <m/>
    <m/>
  </r>
  <r>
    <n v="26"/>
    <x v="1"/>
    <s v="Non-Travel"/>
    <n v="786"/>
    <x v="1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m/>
    <m/>
    <m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m/>
    <m/>
    <m/>
  </r>
  <r>
    <n v="34"/>
    <x v="1"/>
    <s v="Travel_Rarely"/>
    <n v="1157"/>
    <x v="1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m/>
    <m/>
    <m/>
  </r>
  <r>
    <n v="60"/>
    <x v="1"/>
    <s v="Travel_Rarely"/>
    <n v="370"/>
    <x v="1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m/>
    <m/>
    <m/>
  </r>
  <r>
    <n v="33"/>
    <x v="1"/>
    <s v="Travel_Rarely"/>
    <n v="267"/>
    <x v="1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m/>
    <m/>
    <m/>
  </r>
  <r>
    <n v="37"/>
    <x v="1"/>
    <s v="Travel_Frequently"/>
    <n v="1278"/>
    <x v="0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m/>
    <m/>
    <m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m/>
    <m/>
    <m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m/>
    <m/>
    <m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m/>
    <m/>
    <m/>
  </r>
  <r>
    <n v="35"/>
    <x v="1"/>
    <s v="Travel_Frequently"/>
    <n v="146"/>
    <x v="1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m/>
    <m/>
    <m/>
  </r>
  <r>
    <n v="43"/>
    <x v="1"/>
    <s v="Travel_Rarely"/>
    <n v="1179"/>
    <x v="0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m/>
    <m/>
    <m/>
  </r>
  <r>
    <n v="24"/>
    <x v="1"/>
    <s v="Travel_Rarely"/>
    <n v="581"/>
    <x v="1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m/>
    <m/>
    <m/>
  </r>
  <r>
    <n v="41"/>
    <x v="1"/>
    <s v="Travel_Rarely"/>
    <n v="918"/>
    <x v="0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m/>
    <m/>
    <m/>
  </r>
  <r>
    <n v="29"/>
    <x v="1"/>
    <s v="Travel_Rarely"/>
    <n v="1082"/>
    <x v="1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m/>
    <m/>
    <m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m/>
    <m/>
    <m/>
  </r>
  <r>
    <n v="45"/>
    <x v="1"/>
    <s v="Non-Travel"/>
    <n v="1238"/>
    <x v="1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m/>
    <m/>
    <m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m/>
    <m/>
    <m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m/>
    <m/>
    <m/>
  </r>
  <r>
    <n v="26"/>
    <x v="1"/>
    <s v="Travel_Rarely"/>
    <n v="390"/>
    <x v="1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m/>
    <m/>
    <m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m/>
    <m/>
    <m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m/>
    <m/>
    <m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m/>
    <m/>
    <m/>
  </r>
  <r>
    <n v="41"/>
    <x v="1"/>
    <s v="Non-Travel"/>
    <n v="552"/>
    <x v="2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m/>
    <m/>
    <m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m/>
    <m/>
    <m/>
  </r>
  <r>
    <n v="24"/>
    <x v="1"/>
    <s v="Travel_Rarely"/>
    <n v="506"/>
    <x v="1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m/>
    <m/>
    <m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m/>
    <m/>
    <m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m/>
    <m/>
    <m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m/>
    <m/>
    <m/>
  </r>
  <r>
    <n v="47"/>
    <x v="1"/>
    <s v="Non-Travel"/>
    <n v="543"/>
    <x v="0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m/>
    <m/>
    <m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m/>
    <m/>
    <m/>
  </r>
  <r>
    <n v="36"/>
    <x v="0"/>
    <s v="Travel_Rarely"/>
    <n v="1456"/>
    <x v="0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m/>
    <m/>
    <m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m/>
    <m/>
    <m/>
  </r>
  <r>
    <n v="23"/>
    <x v="1"/>
    <s v="Travel_Rarely"/>
    <n v="160"/>
    <x v="1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m/>
    <m/>
    <m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m/>
    <m/>
    <m/>
  </r>
  <r>
    <n v="39"/>
    <x v="1"/>
    <s v="Non-Travel"/>
    <n v="792"/>
    <x v="1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m/>
    <m/>
    <m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m/>
    <m/>
    <m/>
  </r>
  <r>
    <n v="40"/>
    <x v="1"/>
    <s v="Travel_Rarely"/>
    <n v="611"/>
    <x v="0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m/>
    <m/>
    <m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m/>
    <m/>
    <m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m/>
    <m/>
    <m/>
  </r>
  <r>
    <n v="24"/>
    <x v="1"/>
    <s v="Travel_Frequently"/>
    <n v="897"/>
    <x v="2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m/>
    <m/>
    <m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m/>
    <m/>
    <m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m/>
    <m/>
    <m/>
  </r>
  <r>
    <n v="27"/>
    <x v="1"/>
    <s v="Travel_Rarely"/>
    <n v="1054"/>
    <x v="1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m/>
    <m/>
    <m/>
  </r>
  <r>
    <n v="29"/>
    <x v="0"/>
    <s v="Travel_Rarely"/>
    <n v="428"/>
    <x v="0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m/>
    <m/>
    <m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m/>
    <m/>
    <m/>
  </r>
  <r>
    <n v="30"/>
    <x v="1"/>
    <s v="Travel_Rarely"/>
    <n v="979"/>
    <x v="0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m/>
    <m/>
    <m/>
  </r>
  <r>
    <n v="34"/>
    <x v="1"/>
    <s v="Travel_Rarely"/>
    <n v="181"/>
    <x v="1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m/>
    <m/>
    <m/>
  </r>
  <r>
    <n v="33"/>
    <x v="1"/>
    <s v="Non-Travel"/>
    <n v="1283"/>
    <x v="0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m/>
    <m/>
    <m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m/>
    <m/>
    <m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m/>
    <m/>
    <m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m/>
    <m/>
    <m/>
  </r>
  <r>
    <n v="31"/>
    <x v="0"/>
    <s v="Travel_Rarely"/>
    <n v="1079"/>
    <x v="0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m/>
    <m/>
    <m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m/>
    <m/>
    <m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m/>
    <m/>
    <m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m/>
    <m/>
    <m/>
  </r>
  <r>
    <n v="38"/>
    <x v="1"/>
    <s v="Travel_Rarely"/>
    <n v="833"/>
    <x v="1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m/>
    <m/>
    <m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m/>
    <m/>
    <m/>
  </r>
  <r>
    <n v="42"/>
    <x v="1"/>
    <s v="Travel_Rarely"/>
    <n v="855"/>
    <x v="1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m/>
    <m/>
    <m/>
  </r>
  <r>
    <n v="55"/>
    <x v="1"/>
    <s v="Travel_Rarely"/>
    <n v="478"/>
    <x v="1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m/>
    <m/>
    <m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m/>
    <m/>
    <m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m/>
    <m/>
    <m/>
  </r>
  <r>
    <n v="34"/>
    <x v="1"/>
    <s v="Non-Travel"/>
    <n v="1375"/>
    <x v="0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m/>
    <m/>
    <m/>
  </r>
  <r>
    <n v="53"/>
    <x v="1"/>
    <s v="Non-Travel"/>
    <n v="661"/>
    <x v="1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m/>
    <m/>
    <m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m/>
    <m/>
    <m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m/>
    <m/>
    <m/>
  </r>
  <r>
    <n v="21"/>
    <x v="0"/>
    <s v="Travel_Rarely"/>
    <n v="337"/>
    <x v="0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m/>
    <m/>
    <m/>
  </r>
  <r>
    <n v="38"/>
    <x v="1"/>
    <s v="Travel_Rarely"/>
    <n v="1153"/>
    <x v="1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m/>
    <m/>
    <m/>
  </r>
  <r>
    <n v="22"/>
    <x v="0"/>
    <s v="Travel_Rarely"/>
    <n v="1294"/>
    <x v="1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m/>
    <m/>
    <m/>
  </r>
  <r>
    <n v="31"/>
    <x v="1"/>
    <s v="Travel_Rarely"/>
    <n v="196"/>
    <x v="0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m/>
    <m/>
    <m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m/>
    <m/>
    <m/>
  </r>
  <r>
    <n v="37"/>
    <x v="1"/>
    <s v="Travel_Rarely"/>
    <n v="589"/>
    <x v="0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m/>
    <m/>
    <m/>
  </r>
  <r>
    <n v="46"/>
    <x v="1"/>
    <s v="Travel_Rarely"/>
    <n v="734"/>
    <x v="1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m/>
    <m/>
    <m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m/>
    <m/>
    <m/>
  </r>
  <r>
    <n v="44"/>
    <x v="0"/>
    <s v="Travel_Frequently"/>
    <n v="429"/>
    <x v="1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m/>
    <m/>
    <m/>
  </r>
  <r>
    <n v="37"/>
    <x v="1"/>
    <s v="Travel_Rarely"/>
    <n v="1239"/>
    <x v="2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m/>
    <m/>
    <m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m/>
    <m/>
    <m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m/>
    <m/>
    <m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m/>
    <m/>
    <m/>
  </r>
  <r>
    <n v="39"/>
    <x v="1"/>
    <s v="Travel_Rarely"/>
    <n v="1253"/>
    <x v="1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m/>
    <m/>
    <m/>
  </r>
  <r>
    <n v="46"/>
    <x v="1"/>
    <s v="Non-Travel"/>
    <n v="849"/>
    <x v="0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m/>
    <m/>
    <m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m/>
    <m/>
    <m/>
  </r>
  <r>
    <n v="42"/>
    <x v="1"/>
    <s v="Travel_Rarely"/>
    <n v="1128"/>
    <x v="1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m/>
    <m/>
    <m/>
  </r>
  <r>
    <n v="35"/>
    <x v="1"/>
    <s v="Non-Travel"/>
    <n v="1180"/>
    <x v="1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m/>
    <m/>
    <m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m/>
    <m/>
    <m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m/>
    <m/>
    <m/>
  </r>
  <r>
    <n v="37"/>
    <x v="0"/>
    <s v="Travel_Rarely"/>
    <n v="370"/>
    <x v="1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m/>
    <m/>
    <m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m/>
    <m/>
    <m/>
  </r>
  <r>
    <n v="43"/>
    <x v="1"/>
    <s v="Non-Travel"/>
    <n v="343"/>
    <x v="1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m/>
    <m/>
    <m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m/>
    <m/>
    <m/>
  </r>
  <r>
    <n v="41"/>
    <x v="1"/>
    <s v="Travel_Rarely"/>
    <n v="796"/>
    <x v="0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m/>
    <m/>
    <m/>
  </r>
  <r>
    <n v="30"/>
    <x v="1"/>
    <s v="Travel_Rarely"/>
    <n v="1092"/>
    <x v="1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m/>
    <m/>
    <m/>
  </r>
  <r>
    <n v="26"/>
    <x v="0"/>
    <s v="Travel_Rarely"/>
    <n v="920"/>
    <x v="2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m/>
    <m/>
    <m/>
  </r>
  <r>
    <n v="46"/>
    <x v="0"/>
    <s v="Travel_Rarely"/>
    <n v="261"/>
    <x v="1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m/>
    <m/>
    <m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m/>
    <m/>
    <m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m/>
    <m/>
    <m/>
  </r>
  <r>
    <n v="58"/>
    <x v="1"/>
    <s v="Non-Travel"/>
    <n v="350"/>
    <x v="0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m/>
    <m/>
    <m/>
  </r>
  <r>
    <n v="35"/>
    <x v="1"/>
    <s v="Travel_Rarely"/>
    <n v="185"/>
    <x v="1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m/>
    <m/>
    <m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m/>
    <m/>
    <m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m/>
    <m/>
    <m/>
  </r>
  <r>
    <n v="54"/>
    <x v="1"/>
    <s v="Travel_Rarely"/>
    <n v="431"/>
    <x v="1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m/>
    <m/>
    <m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m/>
    <m/>
    <m/>
  </r>
  <r>
    <n v="28"/>
    <x v="1"/>
    <s v="Travel_Rarely"/>
    <n v="1217"/>
    <x v="1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m/>
    <m/>
    <m/>
  </r>
  <r>
    <n v="38"/>
    <x v="1"/>
    <s v="Travel_Rarely"/>
    <n v="723"/>
    <x v="0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m/>
    <m/>
    <m/>
  </r>
  <r>
    <n v="26"/>
    <x v="1"/>
    <s v="Travel_Rarely"/>
    <n v="572"/>
    <x v="0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m/>
    <m/>
    <m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m/>
    <m/>
    <m/>
  </r>
  <r>
    <n v="18"/>
    <x v="1"/>
    <s v="Non-Travel"/>
    <n v="1431"/>
    <x v="1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m/>
    <m/>
    <m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m/>
    <m/>
    <m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m/>
    <m/>
    <m/>
  </r>
  <r>
    <n v="45"/>
    <x v="1"/>
    <s v="Non-Travel"/>
    <n v="589"/>
    <x v="0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m/>
    <m/>
    <m/>
  </r>
  <r>
    <n v="36"/>
    <x v="1"/>
    <s v="Travel_Rarely"/>
    <n v="430"/>
    <x v="1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m/>
    <m/>
    <m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m/>
    <m/>
    <m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m/>
    <m/>
    <m/>
  </r>
  <r>
    <n v="29"/>
    <x v="1"/>
    <s v="Travel_Frequently"/>
    <n v="574"/>
    <x v="1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m/>
    <m/>
    <m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m/>
    <m/>
    <m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m/>
    <m/>
    <m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m/>
    <m/>
    <m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m/>
    <m/>
    <m/>
  </r>
  <r>
    <n v="28"/>
    <x v="1"/>
    <s v="Non-Travel"/>
    <n v="280"/>
    <x v="2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m/>
    <m/>
    <m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m/>
    <m/>
    <m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m/>
    <m/>
    <m/>
  </r>
  <r>
    <n v="32"/>
    <x v="0"/>
    <s v="Travel_Rarely"/>
    <n v="414"/>
    <x v="0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m/>
    <m/>
    <m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m/>
    <m/>
    <m/>
  </r>
  <r>
    <n v="27"/>
    <x v="1"/>
    <s v="Travel_Rarely"/>
    <n v="728"/>
    <x v="0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m/>
    <m/>
    <m/>
  </r>
  <r>
    <n v="29"/>
    <x v="1"/>
    <s v="Travel_Rarely"/>
    <n v="352"/>
    <x v="2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m/>
    <m/>
    <m/>
  </r>
  <r>
    <n v="43"/>
    <x v="1"/>
    <s v="Travel_Rarely"/>
    <n v="823"/>
    <x v="1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m/>
    <m/>
    <m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m/>
    <m/>
    <m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m/>
    <m/>
    <m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m/>
    <m/>
    <m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m/>
    <m/>
    <m/>
  </r>
  <r>
    <n v="39"/>
    <x v="1"/>
    <s v="Travel_Rarely"/>
    <n v="835"/>
    <x v="1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m/>
    <m/>
    <m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m/>
    <m/>
    <m/>
  </r>
  <r>
    <n v="28"/>
    <x v="1"/>
    <s v="Travel_Rarely"/>
    <n v="1172"/>
    <x v="0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m/>
    <m/>
    <m/>
  </r>
  <r>
    <n v="30"/>
    <x v="0"/>
    <s v="Travel_Rarely"/>
    <n v="945"/>
    <x v="0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m/>
    <m/>
    <m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m/>
    <m/>
    <m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m/>
    <m/>
    <m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m/>
    <m/>
    <m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m/>
    <m/>
    <m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m/>
    <m/>
    <m/>
  </r>
  <r>
    <n v="37"/>
    <x v="1"/>
    <s v="Travel_Rarely"/>
    <n v="783"/>
    <x v="1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m/>
    <m/>
    <m/>
  </r>
  <r>
    <n v="35"/>
    <x v="1"/>
    <s v="Travel_Rarely"/>
    <n v="219"/>
    <x v="1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m/>
    <m/>
    <m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m/>
    <m/>
    <m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m/>
    <m/>
    <m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m/>
    <m/>
    <m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m/>
    <m/>
    <m/>
  </r>
  <r>
    <n v="27"/>
    <x v="1"/>
    <s v="Travel_Rarely"/>
    <n v="511"/>
    <x v="0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m/>
    <m/>
    <m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m/>
    <m/>
    <m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m/>
    <m/>
    <m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m/>
    <m/>
    <m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m/>
    <m/>
    <m/>
  </r>
  <r>
    <n v="36"/>
    <x v="1"/>
    <s v="Travel_Rarely"/>
    <n v="335"/>
    <x v="0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m/>
    <m/>
    <m/>
  </r>
  <r>
    <n v="41"/>
    <x v="1"/>
    <s v="Travel_Rarely"/>
    <n v="337"/>
    <x v="0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m/>
    <m/>
    <m/>
  </r>
  <r>
    <n v="42"/>
    <x v="1"/>
    <s v="Travel_Rarely"/>
    <n v="1396"/>
    <x v="1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m/>
    <m/>
    <m/>
  </r>
  <r>
    <n v="31"/>
    <x v="1"/>
    <s v="Travel_Rarely"/>
    <n v="1079"/>
    <x v="0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m/>
    <m/>
    <m/>
  </r>
  <r>
    <n v="34"/>
    <x v="1"/>
    <s v="Travel_Rarely"/>
    <n v="735"/>
    <x v="0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m/>
    <m/>
    <m/>
  </r>
  <r>
    <n v="31"/>
    <x v="1"/>
    <s v="Travel_Rarely"/>
    <n v="471"/>
    <x v="1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m/>
    <m/>
    <m/>
  </r>
  <r>
    <n v="26"/>
    <x v="1"/>
    <s v="Travel_Frequently"/>
    <n v="1096"/>
    <x v="1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m/>
    <m/>
    <m/>
  </r>
  <r>
    <n v="45"/>
    <x v="1"/>
    <s v="Travel_Frequently"/>
    <n v="1297"/>
    <x v="1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m/>
    <m/>
    <m/>
  </r>
  <r>
    <n v="33"/>
    <x v="1"/>
    <s v="Travel_Rarely"/>
    <n v="217"/>
    <x v="0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m/>
    <m/>
    <m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m/>
    <m/>
    <m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m/>
    <m/>
    <m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m/>
    <m/>
    <m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m/>
    <m/>
    <m/>
  </r>
  <r>
    <n v="34"/>
    <x v="1"/>
    <s v="Travel_Frequently"/>
    <n v="735"/>
    <x v="1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m/>
    <m/>
    <m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m/>
    <m/>
    <m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m/>
    <m/>
    <m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m/>
    <m/>
    <m/>
  </r>
  <r>
    <n v="39"/>
    <x v="1"/>
    <s v="Travel_Rarely"/>
    <n v="867"/>
    <x v="1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m/>
    <m/>
    <m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m/>
    <m/>
    <m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m/>
    <m/>
    <m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m/>
    <m/>
    <m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m/>
    <m/>
    <m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m/>
    <m/>
    <m/>
  </r>
  <r>
    <n v="42"/>
    <x v="1"/>
    <s v="Travel_Rarely"/>
    <n v="419"/>
    <x v="0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m/>
    <m/>
    <m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m/>
    <m/>
    <m/>
  </r>
  <r>
    <n v="35"/>
    <x v="1"/>
    <s v="Travel_Rarely"/>
    <n v="682"/>
    <x v="0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m/>
    <m/>
    <m/>
  </r>
  <r>
    <n v="28"/>
    <x v="1"/>
    <s v="Non-Travel"/>
    <n v="1103"/>
    <x v="1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m/>
    <m/>
    <m/>
  </r>
  <r>
    <n v="31"/>
    <x v="1"/>
    <s v="Non-Travel"/>
    <n v="976"/>
    <x v="1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m/>
    <m/>
    <m/>
  </r>
  <r>
    <n v="36"/>
    <x v="1"/>
    <s v="Non-Travel"/>
    <n v="1351"/>
    <x v="1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m/>
    <m/>
    <m/>
  </r>
  <r>
    <n v="34"/>
    <x v="1"/>
    <s v="Travel_Rarely"/>
    <n v="937"/>
    <x v="0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m/>
    <m/>
    <m/>
  </r>
  <r>
    <n v="34"/>
    <x v="1"/>
    <s v="Travel_Rarely"/>
    <n v="1239"/>
    <x v="0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m/>
    <m/>
    <m/>
  </r>
  <r>
    <n v="26"/>
    <x v="1"/>
    <s v="Travel_Rarely"/>
    <n v="157"/>
    <x v="1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m/>
    <m/>
    <m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m/>
    <m/>
    <m/>
  </r>
  <r>
    <n v="32"/>
    <x v="1"/>
    <s v="Non-Travel"/>
    <n v="1146"/>
    <x v="1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m/>
    <m/>
    <m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m/>
    <m/>
    <m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m/>
    <m/>
    <m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m/>
    <m/>
    <m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m/>
    <m/>
    <m/>
  </r>
  <r>
    <n v="27"/>
    <x v="1"/>
    <s v="Travel_Rarely"/>
    <n v="954"/>
    <x v="0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m/>
    <m/>
    <m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m/>
    <m/>
    <m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m/>
    <m/>
    <m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m/>
    <m/>
    <m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m/>
    <m/>
    <m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m/>
    <m/>
    <m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m/>
    <m/>
    <m/>
  </r>
  <r>
    <n v="38"/>
    <x v="1"/>
    <s v="Travel_Frequently"/>
    <n v="1444"/>
    <x v="2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m/>
    <m/>
    <m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m/>
    <m/>
    <m/>
  </r>
  <r>
    <n v="31"/>
    <x v="1"/>
    <s v="Travel_Rarely"/>
    <n v="1276"/>
    <x v="1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m/>
    <m/>
    <m/>
  </r>
  <r>
    <n v="39"/>
    <x v="1"/>
    <s v="Travel_Rarely"/>
    <n v="119"/>
    <x v="0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m/>
    <m/>
    <m/>
  </r>
  <r>
    <n v="42"/>
    <x v="1"/>
    <s v="Non-Travel"/>
    <n v="335"/>
    <x v="1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m/>
    <m/>
    <m/>
  </r>
  <r>
    <n v="31"/>
    <x v="1"/>
    <s v="Non-Travel"/>
    <n v="697"/>
    <x v="1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m/>
    <m/>
    <m/>
  </r>
  <r>
    <n v="54"/>
    <x v="1"/>
    <s v="Travel_Rarely"/>
    <n v="157"/>
    <x v="1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m/>
    <m/>
    <m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m/>
    <m/>
    <m/>
  </r>
  <r>
    <n v="23"/>
    <x v="1"/>
    <s v="Travel_Rarely"/>
    <n v="571"/>
    <x v="1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m/>
    <m/>
    <m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m/>
    <m/>
    <m/>
  </r>
  <r>
    <n v="40"/>
    <x v="1"/>
    <s v="Travel_Rarely"/>
    <n v="444"/>
    <x v="0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m/>
    <m/>
    <m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m/>
    <m/>
    <m/>
  </r>
  <r>
    <n v="30"/>
    <x v="1"/>
    <s v="Travel_Rarely"/>
    <n v="911"/>
    <x v="1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m/>
    <m/>
    <m/>
  </r>
  <r>
    <n v="25"/>
    <x v="1"/>
    <s v="Travel_Rarely"/>
    <n v="977"/>
    <x v="1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m/>
    <m/>
    <m/>
  </r>
  <r>
    <n v="47"/>
    <x v="1"/>
    <s v="Travel_Rarely"/>
    <n v="1180"/>
    <x v="1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m/>
    <m/>
    <m/>
  </r>
  <r>
    <n v="33"/>
    <x v="1"/>
    <s v="Non-Travel"/>
    <n v="1313"/>
    <x v="1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m/>
    <m/>
    <m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m/>
    <m/>
    <m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m/>
    <m/>
    <m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m/>
    <m/>
    <m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m/>
    <m/>
    <m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m/>
    <m/>
    <m/>
  </r>
  <r>
    <n v="47"/>
    <x v="1"/>
    <s v="Non-Travel"/>
    <n v="1162"/>
    <x v="1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m/>
    <m/>
    <m/>
  </r>
  <r>
    <n v="35"/>
    <x v="1"/>
    <s v="Travel_Rarely"/>
    <n v="1490"/>
    <x v="1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m/>
    <m/>
    <m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m/>
    <m/>
    <m/>
  </r>
  <r>
    <n v="35"/>
    <x v="1"/>
    <s v="Travel_Rarely"/>
    <n v="1395"/>
    <x v="1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m/>
    <m/>
    <m/>
  </r>
  <r>
    <n v="33"/>
    <x v="1"/>
    <s v="Travel_Rarely"/>
    <n v="501"/>
    <x v="1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m/>
    <m/>
    <m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m/>
    <m/>
    <m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m/>
    <m/>
    <m/>
  </r>
  <r>
    <n v="32"/>
    <x v="1"/>
    <s v="Travel_Rarely"/>
    <n v="234"/>
    <x v="0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m/>
    <m/>
    <m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m/>
    <m/>
    <m/>
  </r>
  <r>
    <n v="38"/>
    <x v="1"/>
    <s v="Travel_Rarely"/>
    <n v="201"/>
    <x v="1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m/>
    <m/>
    <m/>
  </r>
  <r>
    <n v="32"/>
    <x v="1"/>
    <s v="Travel_Rarely"/>
    <n v="801"/>
    <x v="0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m/>
    <m/>
    <m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m/>
    <m/>
    <m/>
  </r>
  <r>
    <n v="25"/>
    <x v="1"/>
    <s v="Travel_Rarely"/>
    <n v="1382"/>
    <x v="0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m/>
    <m/>
    <m/>
  </r>
  <r>
    <n v="52"/>
    <x v="1"/>
    <s v="Non-Travel"/>
    <n v="585"/>
    <x v="0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m/>
    <m/>
    <m/>
  </r>
  <r>
    <n v="44"/>
    <x v="1"/>
    <s v="Travel_Rarely"/>
    <n v="1037"/>
    <x v="1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m/>
    <m/>
    <m/>
  </r>
  <r>
    <n v="21"/>
    <x v="1"/>
    <s v="Travel_Rarely"/>
    <n v="501"/>
    <x v="0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m/>
    <m/>
    <m/>
  </r>
  <r>
    <n v="39"/>
    <x v="1"/>
    <s v="Non-Travel"/>
    <n v="105"/>
    <x v="1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m/>
    <m/>
    <m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m/>
    <m/>
    <m/>
  </r>
  <r>
    <n v="36"/>
    <x v="1"/>
    <s v="Travel_Rarely"/>
    <n v="557"/>
    <x v="0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m/>
    <m/>
    <m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m/>
    <m/>
    <m/>
  </r>
  <r>
    <n v="56"/>
    <x v="1"/>
    <s v="Non-Travel"/>
    <n v="667"/>
    <x v="1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m/>
    <m/>
    <m/>
  </r>
  <r>
    <n v="29"/>
    <x v="0"/>
    <s v="Travel_Rarely"/>
    <n v="1092"/>
    <x v="1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m/>
    <m/>
    <m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m/>
    <m/>
    <m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m/>
    <m/>
    <m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m/>
    <m/>
    <m/>
  </r>
  <r>
    <n v="34"/>
    <x v="1"/>
    <s v="Travel_Rarely"/>
    <n v="704"/>
    <x v="0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m/>
    <m/>
    <m/>
  </r>
  <r>
    <n v="36"/>
    <x v="1"/>
    <s v="Non-Travel"/>
    <n v="301"/>
    <x v="0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m/>
    <m/>
    <m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m/>
    <m/>
    <m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m/>
    <m/>
    <m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m/>
    <m/>
    <m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m/>
    <m/>
    <m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m/>
    <m/>
    <m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m/>
    <m/>
    <m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m/>
    <m/>
    <m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m/>
    <m/>
    <m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m/>
    <m/>
    <m/>
  </r>
  <r>
    <n v="40"/>
    <x v="1"/>
    <s v="Travel_Rarely"/>
    <n v="1194"/>
    <x v="1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m/>
    <m/>
    <m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m/>
    <m/>
    <m/>
  </r>
  <r>
    <n v="29"/>
    <x v="1"/>
    <s v="Travel_Rarely"/>
    <n v="1378"/>
    <x v="1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m/>
    <m/>
    <m/>
  </r>
  <r>
    <n v="29"/>
    <x v="1"/>
    <s v="Travel_Rarely"/>
    <n v="468"/>
    <x v="1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m/>
    <m/>
    <m/>
  </r>
  <r>
    <n v="50"/>
    <x v="0"/>
    <s v="Travel_Rarely"/>
    <n v="410"/>
    <x v="0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m/>
    <m/>
    <m/>
  </r>
  <r>
    <n v="39"/>
    <x v="1"/>
    <s v="Travel_Rarely"/>
    <n v="722"/>
    <x v="0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m/>
    <m/>
    <m/>
  </r>
  <r>
    <n v="31"/>
    <x v="1"/>
    <s v="Non-Travel"/>
    <n v="325"/>
    <x v="1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m/>
    <m/>
    <m/>
  </r>
  <r>
    <n v="26"/>
    <x v="1"/>
    <s v="Travel_Rarely"/>
    <n v="1167"/>
    <x v="0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m/>
    <m/>
    <m/>
  </r>
  <r>
    <n v="36"/>
    <x v="1"/>
    <s v="Travel_Frequently"/>
    <n v="884"/>
    <x v="1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m/>
    <m/>
    <m/>
  </r>
  <r>
    <n v="39"/>
    <x v="1"/>
    <s v="Travel_Rarely"/>
    <n v="613"/>
    <x v="1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m/>
    <m/>
    <m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m/>
    <m/>
    <m/>
  </r>
  <r>
    <n v="49"/>
    <x v="1"/>
    <s v="Travel_Frequently"/>
    <n v="1023"/>
    <x v="0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m/>
    <m/>
    <m/>
  </r>
  <r>
    <n v="34"/>
    <x v="1"/>
    <s v="Travel_Rarely"/>
    <n v="628"/>
    <x v="1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s v="Travel_Rarely"/>
    <n v="1102"/>
    <s v="Sales"/>
    <n v="1"/>
    <n v="2"/>
    <s v="Life Sciences"/>
    <n v="1"/>
    <n v="1"/>
    <n v="2"/>
    <s v="Female"/>
    <n v="94"/>
    <n v="3"/>
    <n v="2"/>
    <x v="0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n v="1470"/>
    <n v="237"/>
    <n v="16.122448979591837"/>
    <n v="36.933652530779753"/>
  </r>
  <r>
    <n v="49"/>
    <s v="No"/>
    <s v="Travel_Frequently"/>
    <n v="279"/>
    <s v="Research &amp; Development"/>
    <n v="8"/>
    <n v="1"/>
    <s v="Life Sciences"/>
    <n v="1"/>
    <n v="2"/>
    <n v="3"/>
    <s v="Male"/>
    <n v="61"/>
    <n v="2"/>
    <n v="2"/>
    <x v="1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m/>
    <m/>
    <m/>
    <m/>
  </r>
  <r>
    <n v="37"/>
    <s v="Yes"/>
    <s v="Travel_Rarely"/>
    <n v="1373"/>
    <s v="Research &amp; Development"/>
    <n v="2"/>
    <n v="2"/>
    <s v="Other"/>
    <n v="1"/>
    <n v="4"/>
    <n v="4"/>
    <s v="Male"/>
    <n v="92"/>
    <n v="2"/>
    <n v="1"/>
    <x v="2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m/>
    <m/>
    <m/>
    <m/>
  </r>
  <r>
    <n v="33"/>
    <s v="No"/>
    <s v="Travel_Frequently"/>
    <n v="1392"/>
    <s v="Research &amp; Development"/>
    <n v="3"/>
    <n v="4"/>
    <s v="Life Sciences"/>
    <n v="1"/>
    <n v="5"/>
    <n v="4"/>
    <s v="Female"/>
    <n v="56"/>
    <n v="3"/>
    <n v="1"/>
    <x v="1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m/>
    <m/>
    <m/>
    <m/>
  </r>
  <r>
    <n v="27"/>
    <s v="No"/>
    <s v="Travel_Rarely"/>
    <n v="591"/>
    <s v="Research &amp; Development"/>
    <n v="2"/>
    <n v="1"/>
    <s v="Medical"/>
    <n v="1"/>
    <n v="7"/>
    <n v="1"/>
    <s v="Male"/>
    <n v="40"/>
    <n v="3"/>
    <n v="1"/>
    <x v="2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m/>
    <m/>
    <m/>
    <m/>
  </r>
  <r>
    <n v="32"/>
    <s v="No"/>
    <s v="Travel_Frequently"/>
    <n v="1005"/>
    <s v="Research &amp; Development"/>
    <n v="2"/>
    <n v="2"/>
    <s v="Life Sciences"/>
    <n v="1"/>
    <n v="8"/>
    <n v="4"/>
    <s v="Male"/>
    <n v="79"/>
    <n v="3"/>
    <n v="1"/>
    <x v="2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m/>
    <m/>
    <m/>
    <m/>
  </r>
  <r>
    <n v="59"/>
    <s v="No"/>
    <s v="Travel_Rarely"/>
    <n v="1324"/>
    <s v="Research &amp; Development"/>
    <n v="3"/>
    <n v="3"/>
    <s v="Medical"/>
    <n v="1"/>
    <n v="10"/>
    <n v="3"/>
    <s v="Female"/>
    <n v="81"/>
    <n v="4"/>
    <n v="1"/>
    <x v="2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m/>
    <m/>
    <m/>
    <m/>
  </r>
  <r>
    <n v="30"/>
    <s v="No"/>
    <s v="Travel_Rarely"/>
    <n v="1358"/>
    <s v="Research &amp; Development"/>
    <n v="24"/>
    <n v="1"/>
    <s v="Life Sciences"/>
    <n v="1"/>
    <n v="11"/>
    <n v="4"/>
    <s v="Male"/>
    <n v="67"/>
    <n v="3"/>
    <n v="1"/>
    <x v="2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m/>
    <m/>
    <m/>
    <m/>
  </r>
  <r>
    <n v="38"/>
    <s v="No"/>
    <s v="Travel_Frequently"/>
    <n v="216"/>
    <s v="Research &amp; Development"/>
    <n v="23"/>
    <n v="3"/>
    <s v="Life Sciences"/>
    <n v="1"/>
    <n v="12"/>
    <n v="4"/>
    <s v="Male"/>
    <n v="44"/>
    <n v="2"/>
    <n v="3"/>
    <x v="3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m/>
    <m/>
    <m/>
    <m/>
  </r>
  <r>
    <n v="36"/>
    <s v="No"/>
    <s v="Travel_Rarely"/>
    <n v="1299"/>
    <s v="Research &amp; Development"/>
    <n v="27"/>
    <n v="3"/>
    <s v="Medical"/>
    <n v="1"/>
    <n v="13"/>
    <n v="3"/>
    <s v="Male"/>
    <n v="94"/>
    <n v="3"/>
    <n v="2"/>
    <x v="4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m/>
    <m/>
    <m/>
    <m/>
  </r>
  <r>
    <n v="35"/>
    <s v="No"/>
    <s v="Travel_Rarely"/>
    <n v="809"/>
    <s v="Research &amp; Development"/>
    <n v="16"/>
    <n v="3"/>
    <s v="Medical"/>
    <n v="1"/>
    <n v="14"/>
    <n v="1"/>
    <s v="Male"/>
    <n v="84"/>
    <n v="4"/>
    <n v="1"/>
    <x v="2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m/>
    <m/>
    <m/>
    <m/>
  </r>
  <r>
    <n v="29"/>
    <s v="No"/>
    <s v="Travel_Rarely"/>
    <n v="153"/>
    <s v="Research &amp; Development"/>
    <n v="15"/>
    <n v="2"/>
    <s v="Life Sciences"/>
    <n v="1"/>
    <n v="15"/>
    <n v="4"/>
    <s v="Female"/>
    <n v="49"/>
    <n v="2"/>
    <n v="2"/>
    <x v="2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m/>
    <m/>
    <m/>
    <m/>
  </r>
  <r>
    <n v="31"/>
    <s v="No"/>
    <s v="Travel_Rarely"/>
    <n v="670"/>
    <s v="Research &amp; Development"/>
    <n v="26"/>
    <n v="1"/>
    <s v="Life Sciences"/>
    <n v="1"/>
    <n v="16"/>
    <n v="1"/>
    <s v="Male"/>
    <n v="31"/>
    <n v="3"/>
    <n v="1"/>
    <x v="1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m/>
    <m/>
    <m/>
    <m/>
  </r>
  <r>
    <n v="34"/>
    <s v="No"/>
    <s v="Travel_Rarely"/>
    <n v="1346"/>
    <s v="Research &amp; Development"/>
    <n v="19"/>
    <n v="2"/>
    <s v="Medical"/>
    <n v="1"/>
    <n v="18"/>
    <n v="2"/>
    <s v="Male"/>
    <n v="93"/>
    <n v="3"/>
    <n v="1"/>
    <x v="2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m/>
    <m/>
    <m/>
    <m/>
  </r>
  <r>
    <n v="28"/>
    <s v="Yes"/>
    <s v="Travel_Rarely"/>
    <n v="103"/>
    <s v="Research &amp; Development"/>
    <n v="24"/>
    <n v="3"/>
    <s v="Life Sciences"/>
    <n v="1"/>
    <n v="19"/>
    <n v="3"/>
    <s v="Male"/>
    <n v="50"/>
    <n v="2"/>
    <n v="1"/>
    <x v="2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m/>
    <m/>
    <m/>
    <m/>
  </r>
  <r>
    <n v="29"/>
    <s v="No"/>
    <s v="Travel_Rarely"/>
    <n v="1389"/>
    <s v="Research &amp; Development"/>
    <n v="21"/>
    <n v="4"/>
    <s v="Life Sciences"/>
    <n v="1"/>
    <n v="20"/>
    <n v="2"/>
    <s v="Female"/>
    <n v="51"/>
    <n v="4"/>
    <n v="3"/>
    <x v="3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m/>
    <m/>
    <m/>
    <m/>
  </r>
  <r>
    <n v="32"/>
    <s v="No"/>
    <s v="Travel_Rarely"/>
    <n v="334"/>
    <s v="Research &amp; Development"/>
    <n v="5"/>
    <n v="2"/>
    <s v="Life Sciences"/>
    <n v="1"/>
    <n v="21"/>
    <n v="1"/>
    <s v="Male"/>
    <n v="80"/>
    <n v="4"/>
    <n v="1"/>
    <x v="1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m/>
    <m/>
    <m/>
    <m/>
  </r>
  <r>
    <n v="22"/>
    <s v="No"/>
    <s v="Non-Travel"/>
    <n v="1123"/>
    <s v="Research &amp; Development"/>
    <n v="16"/>
    <n v="2"/>
    <s v="Medical"/>
    <n v="1"/>
    <n v="22"/>
    <n v="4"/>
    <s v="Male"/>
    <n v="96"/>
    <n v="4"/>
    <n v="1"/>
    <x v="2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m/>
    <m/>
    <m/>
    <m/>
  </r>
  <r>
    <n v="53"/>
    <s v="No"/>
    <s v="Travel_Rarely"/>
    <n v="1219"/>
    <s v="Sales"/>
    <n v="2"/>
    <n v="4"/>
    <s v="Life Sciences"/>
    <n v="1"/>
    <n v="23"/>
    <n v="1"/>
    <s v="Female"/>
    <n v="78"/>
    <n v="2"/>
    <n v="4"/>
    <x v="5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m/>
    <m/>
    <m/>
    <m/>
  </r>
  <r>
    <n v="38"/>
    <s v="No"/>
    <s v="Travel_Rarely"/>
    <n v="371"/>
    <s v="Research &amp; Development"/>
    <n v="2"/>
    <n v="3"/>
    <s v="Life Sciences"/>
    <n v="1"/>
    <n v="24"/>
    <n v="4"/>
    <s v="Male"/>
    <n v="45"/>
    <n v="3"/>
    <n v="1"/>
    <x v="1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m/>
    <m/>
    <m/>
    <m/>
  </r>
  <r>
    <n v="24"/>
    <s v="No"/>
    <s v="Non-Travel"/>
    <n v="673"/>
    <s v="Research &amp; Development"/>
    <n v="11"/>
    <n v="2"/>
    <s v="Other"/>
    <n v="1"/>
    <n v="26"/>
    <n v="1"/>
    <s v="Female"/>
    <n v="96"/>
    <n v="4"/>
    <n v="2"/>
    <x v="3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m/>
    <m/>
    <m/>
    <m/>
  </r>
  <r>
    <n v="36"/>
    <s v="Yes"/>
    <s v="Travel_Rarely"/>
    <n v="1218"/>
    <s v="Sales"/>
    <n v="9"/>
    <n v="4"/>
    <s v="Life Sciences"/>
    <n v="1"/>
    <n v="27"/>
    <n v="3"/>
    <s v="Male"/>
    <n v="82"/>
    <n v="2"/>
    <n v="1"/>
    <x v="6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m/>
    <m/>
    <m/>
    <m/>
  </r>
  <r>
    <n v="34"/>
    <s v="No"/>
    <s v="Travel_Rarely"/>
    <n v="419"/>
    <s v="Research &amp; Development"/>
    <n v="7"/>
    <n v="4"/>
    <s v="Life Sciences"/>
    <n v="1"/>
    <n v="28"/>
    <n v="1"/>
    <s v="Female"/>
    <n v="53"/>
    <n v="3"/>
    <n v="3"/>
    <x v="7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m/>
    <m/>
    <m/>
    <m/>
  </r>
  <r>
    <n v="21"/>
    <s v="No"/>
    <s v="Travel_Rarely"/>
    <n v="391"/>
    <s v="Research &amp; Development"/>
    <n v="15"/>
    <n v="2"/>
    <s v="Life Sciences"/>
    <n v="1"/>
    <n v="30"/>
    <n v="3"/>
    <s v="Male"/>
    <n v="96"/>
    <n v="3"/>
    <n v="1"/>
    <x v="1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m/>
    <m/>
    <m/>
    <m/>
  </r>
  <r>
    <n v="34"/>
    <s v="Yes"/>
    <s v="Travel_Rarely"/>
    <n v="699"/>
    <s v="Research &amp; Development"/>
    <n v="6"/>
    <n v="1"/>
    <s v="Medical"/>
    <n v="1"/>
    <n v="31"/>
    <n v="2"/>
    <s v="Male"/>
    <n v="83"/>
    <n v="3"/>
    <n v="1"/>
    <x v="1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m/>
    <m/>
    <m/>
    <m/>
  </r>
  <r>
    <n v="53"/>
    <s v="No"/>
    <s v="Travel_Rarely"/>
    <n v="1282"/>
    <s v="Research &amp; Development"/>
    <n v="5"/>
    <n v="3"/>
    <s v="Other"/>
    <n v="1"/>
    <n v="32"/>
    <n v="3"/>
    <s v="Female"/>
    <n v="58"/>
    <n v="3"/>
    <n v="5"/>
    <x v="5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m/>
    <m/>
    <m/>
    <m/>
  </r>
  <r>
    <n v="32"/>
    <s v="Yes"/>
    <s v="Travel_Frequently"/>
    <n v="1125"/>
    <s v="Research &amp; Development"/>
    <n v="16"/>
    <n v="1"/>
    <s v="Life Sciences"/>
    <n v="1"/>
    <n v="33"/>
    <n v="2"/>
    <s v="Female"/>
    <n v="72"/>
    <n v="1"/>
    <n v="1"/>
    <x v="1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m/>
    <m/>
    <m/>
    <m/>
  </r>
  <r>
    <n v="42"/>
    <s v="No"/>
    <s v="Travel_Rarely"/>
    <n v="691"/>
    <s v="Sales"/>
    <n v="8"/>
    <n v="4"/>
    <s v="Marketing"/>
    <n v="1"/>
    <n v="35"/>
    <n v="3"/>
    <s v="Male"/>
    <n v="48"/>
    <n v="3"/>
    <n v="2"/>
    <x v="0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m/>
    <m/>
    <m/>
    <m/>
  </r>
  <r>
    <n v="44"/>
    <s v="No"/>
    <s v="Travel_Rarely"/>
    <n v="477"/>
    <s v="Research &amp; Development"/>
    <n v="7"/>
    <n v="4"/>
    <s v="Medical"/>
    <n v="1"/>
    <n v="36"/>
    <n v="1"/>
    <s v="Female"/>
    <n v="42"/>
    <n v="2"/>
    <n v="3"/>
    <x v="4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m/>
    <m/>
    <m/>
    <m/>
  </r>
  <r>
    <n v="46"/>
    <s v="No"/>
    <s v="Travel_Rarely"/>
    <n v="705"/>
    <s v="Sales"/>
    <n v="2"/>
    <n v="4"/>
    <s v="Marketing"/>
    <n v="1"/>
    <n v="38"/>
    <n v="2"/>
    <s v="Female"/>
    <n v="83"/>
    <n v="3"/>
    <n v="5"/>
    <x v="5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m/>
    <m/>
    <m/>
    <m/>
  </r>
  <r>
    <n v="33"/>
    <s v="No"/>
    <s v="Travel_Rarely"/>
    <n v="924"/>
    <s v="Research &amp; Development"/>
    <n v="2"/>
    <n v="3"/>
    <s v="Medical"/>
    <n v="1"/>
    <n v="39"/>
    <n v="3"/>
    <s v="Male"/>
    <n v="78"/>
    <n v="3"/>
    <n v="1"/>
    <x v="2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m/>
    <m/>
    <m/>
    <m/>
  </r>
  <r>
    <n v="44"/>
    <s v="No"/>
    <s v="Travel_Rarely"/>
    <n v="1459"/>
    <s v="Research &amp; Development"/>
    <n v="10"/>
    <n v="4"/>
    <s v="Other"/>
    <n v="1"/>
    <n v="40"/>
    <n v="4"/>
    <s v="Male"/>
    <n v="41"/>
    <n v="3"/>
    <n v="2"/>
    <x v="4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m/>
    <m/>
    <m/>
    <m/>
  </r>
  <r>
    <n v="30"/>
    <s v="No"/>
    <s v="Travel_Rarely"/>
    <n v="125"/>
    <s v="Research &amp; Development"/>
    <n v="9"/>
    <n v="2"/>
    <s v="Medical"/>
    <n v="1"/>
    <n v="41"/>
    <n v="4"/>
    <s v="Male"/>
    <n v="83"/>
    <n v="2"/>
    <n v="1"/>
    <x v="2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m/>
    <m/>
    <m/>
    <m/>
  </r>
  <r>
    <n v="39"/>
    <s v="Yes"/>
    <s v="Travel_Rarely"/>
    <n v="895"/>
    <s v="Sales"/>
    <n v="5"/>
    <n v="3"/>
    <s v="Technical Degree"/>
    <n v="1"/>
    <n v="42"/>
    <n v="4"/>
    <s v="Male"/>
    <n v="56"/>
    <n v="3"/>
    <n v="2"/>
    <x v="6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m/>
    <m/>
    <m/>
    <m/>
  </r>
  <r>
    <n v="24"/>
    <s v="Yes"/>
    <s v="Travel_Rarely"/>
    <n v="813"/>
    <s v="Research &amp; Development"/>
    <n v="1"/>
    <n v="3"/>
    <s v="Medical"/>
    <n v="1"/>
    <n v="45"/>
    <n v="2"/>
    <s v="Male"/>
    <n v="61"/>
    <n v="3"/>
    <n v="1"/>
    <x v="1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m/>
    <m/>
    <m/>
    <m/>
  </r>
  <r>
    <n v="43"/>
    <s v="No"/>
    <s v="Travel_Rarely"/>
    <n v="1273"/>
    <s v="Research &amp; Development"/>
    <n v="2"/>
    <n v="2"/>
    <s v="Medical"/>
    <n v="1"/>
    <n v="46"/>
    <n v="4"/>
    <s v="Female"/>
    <n v="72"/>
    <n v="4"/>
    <n v="1"/>
    <x v="1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m/>
    <m/>
    <m/>
    <m/>
  </r>
  <r>
    <n v="50"/>
    <s v="Yes"/>
    <s v="Travel_Rarely"/>
    <n v="869"/>
    <s v="Sales"/>
    <n v="3"/>
    <n v="2"/>
    <s v="Marketing"/>
    <n v="1"/>
    <n v="47"/>
    <n v="1"/>
    <s v="Male"/>
    <n v="86"/>
    <n v="2"/>
    <n v="1"/>
    <x v="6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m/>
    <m/>
    <m/>
    <m/>
  </r>
  <r>
    <n v="35"/>
    <s v="No"/>
    <s v="Travel_Rarely"/>
    <n v="890"/>
    <s v="Sales"/>
    <n v="2"/>
    <n v="3"/>
    <s v="Marketing"/>
    <n v="1"/>
    <n v="49"/>
    <n v="4"/>
    <s v="Female"/>
    <n v="97"/>
    <n v="3"/>
    <n v="1"/>
    <x v="6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m/>
    <m/>
    <m/>
    <m/>
  </r>
  <r>
    <n v="36"/>
    <s v="No"/>
    <s v="Travel_Rarely"/>
    <n v="852"/>
    <s v="Research &amp; Development"/>
    <n v="5"/>
    <n v="4"/>
    <s v="Life Sciences"/>
    <n v="1"/>
    <n v="51"/>
    <n v="2"/>
    <s v="Female"/>
    <n v="82"/>
    <n v="2"/>
    <n v="1"/>
    <x v="1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m/>
    <m/>
    <m/>
    <m/>
  </r>
  <r>
    <n v="33"/>
    <s v="No"/>
    <s v="Travel_Frequently"/>
    <n v="1141"/>
    <s v="Sales"/>
    <n v="1"/>
    <n v="3"/>
    <s v="Life Sciences"/>
    <n v="1"/>
    <n v="52"/>
    <n v="3"/>
    <s v="Female"/>
    <n v="42"/>
    <n v="4"/>
    <n v="2"/>
    <x v="0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m/>
    <m/>
    <m/>
    <m/>
  </r>
  <r>
    <n v="35"/>
    <s v="No"/>
    <s v="Travel_Rarely"/>
    <n v="464"/>
    <s v="Research &amp; Development"/>
    <n v="4"/>
    <n v="2"/>
    <s v="Other"/>
    <n v="1"/>
    <n v="53"/>
    <n v="3"/>
    <s v="Male"/>
    <n v="75"/>
    <n v="3"/>
    <n v="1"/>
    <x v="2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m/>
    <m/>
    <m/>
    <m/>
  </r>
  <r>
    <n v="27"/>
    <s v="No"/>
    <s v="Travel_Rarely"/>
    <n v="1240"/>
    <s v="Research &amp; Development"/>
    <n v="2"/>
    <n v="4"/>
    <s v="Life Sciences"/>
    <n v="1"/>
    <n v="54"/>
    <n v="4"/>
    <s v="Female"/>
    <n v="33"/>
    <n v="3"/>
    <n v="1"/>
    <x v="2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m/>
    <m/>
    <m/>
    <m/>
  </r>
  <r>
    <n v="26"/>
    <s v="Yes"/>
    <s v="Travel_Rarely"/>
    <n v="1357"/>
    <s v="Research &amp; Development"/>
    <n v="25"/>
    <n v="3"/>
    <s v="Life Sciences"/>
    <n v="1"/>
    <n v="55"/>
    <n v="1"/>
    <s v="Male"/>
    <n v="48"/>
    <n v="1"/>
    <n v="1"/>
    <x v="2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m/>
    <m/>
    <m/>
    <m/>
  </r>
  <r>
    <n v="27"/>
    <s v="No"/>
    <s v="Travel_Frequently"/>
    <n v="994"/>
    <s v="Sales"/>
    <n v="8"/>
    <n v="3"/>
    <s v="Life Sciences"/>
    <n v="1"/>
    <n v="56"/>
    <n v="4"/>
    <s v="Male"/>
    <n v="37"/>
    <n v="3"/>
    <n v="3"/>
    <x v="0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m/>
    <m/>
    <m/>
    <m/>
  </r>
  <r>
    <n v="30"/>
    <s v="No"/>
    <s v="Travel_Frequently"/>
    <n v="721"/>
    <s v="Research &amp; Development"/>
    <n v="1"/>
    <n v="2"/>
    <s v="Medical"/>
    <n v="1"/>
    <n v="57"/>
    <n v="3"/>
    <s v="Female"/>
    <n v="58"/>
    <n v="3"/>
    <n v="2"/>
    <x v="2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m/>
    <m/>
    <m/>
    <m/>
  </r>
  <r>
    <n v="41"/>
    <s v="Yes"/>
    <s v="Travel_Rarely"/>
    <n v="1360"/>
    <s v="Research &amp; Development"/>
    <n v="12"/>
    <n v="3"/>
    <s v="Technical Degree"/>
    <n v="1"/>
    <n v="58"/>
    <n v="2"/>
    <s v="Female"/>
    <n v="49"/>
    <n v="3"/>
    <n v="5"/>
    <x v="7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m/>
    <m/>
    <m/>
    <m/>
  </r>
  <r>
    <n v="34"/>
    <s v="No"/>
    <s v="Non-Travel"/>
    <n v="1065"/>
    <s v="Sales"/>
    <n v="23"/>
    <n v="4"/>
    <s v="Marketing"/>
    <n v="1"/>
    <n v="60"/>
    <n v="2"/>
    <s v="Male"/>
    <n v="72"/>
    <n v="3"/>
    <n v="2"/>
    <x v="0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m/>
    <m/>
    <m/>
    <m/>
  </r>
  <r>
    <n v="37"/>
    <s v="No"/>
    <s v="Travel_Rarely"/>
    <n v="408"/>
    <s v="Research &amp; Development"/>
    <n v="19"/>
    <n v="2"/>
    <s v="Life Sciences"/>
    <n v="1"/>
    <n v="61"/>
    <n v="2"/>
    <s v="Male"/>
    <n v="73"/>
    <n v="3"/>
    <n v="1"/>
    <x v="1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m/>
    <m/>
    <m/>
    <m/>
  </r>
  <r>
    <n v="46"/>
    <s v="No"/>
    <s v="Travel_Frequently"/>
    <n v="1211"/>
    <s v="Sales"/>
    <n v="5"/>
    <n v="4"/>
    <s v="Marketing"/>
    <n v="1"/>
    <n v="62"/>
    <n v="1"/>
    <s v="Male"/>
    <n v="98"/>
    <n v="3"/>
    <n v="2"/>
    <x v="0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m/>
    <m/>
    <m/>
    <m/>
  </r>
  <r>
    <n v="35"/>
    <s v="No"/>
    <s v="Travel_Rarely"/>
    <n v="1229"/>
    <s v="Research &amp; Development"/>
    <n v="8"/>
    <n v="1"/>
    <s v="Life Sciences"/>
    <n v="1"/>
    <n v="63"/>
    <n v="4"/>
    <s v="Male"/>
    <n v="36"/>
    <n v="4"/>
    <n v="1"/>
    <x v="2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m/>
    <m/>
    <m/>
    <m/>
  </r>
  <r>
    <n v="48"/>
    <s v="Yes"/>
    <s v="Travel_Rarely"/>
    <n v="626"/>
    <s v="Research &amp; Development"/>
    <n v="1"/>
    <n v="2"/>
    <s v="Life Sciences"/>
    <n v="1"/>
    <n v="64"/>
    <n v="1"/>
    <s v="Male"/>
    <n v="98"/>
    <n v="2"/>
    <n v="3"/>
    <x v="2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m/>
    <m/>
    <m/>
    <m/>
  </r>
  <r>
    <n v="28"/>
    <s v="Yes"/>
    <s v="Travel_Rarely"/>
    <n v="1434"/>
    <s v="Research &amp; Development"/>
    <n v="5"/>
    <n v="4"/>
    <s v="Technical Degree"/>
    <n v="1"/>
    <n v="65"/>
    <n v="3"/>
    <s v="Male"/>
    <n v="50"/>
    <n v="3"/>
    <n v="1"/>
    <x v="2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m/>
    <m/>
    <m/>
    <m/>
  </r>
  <r>
    <n v="44"/>
    <s v="No"/>
    <s v="Travel_Rarely"/>
    <n v="1488"/>
    <s v="Sales"/>
    <n v="1"/>
    <n v="5"/>
    <s v="Marketing"/>
    <n v="1"/>
    <n v="68"/>
    <n v="2"/>
    <s v="Female"/>
    <n v="75"/>
    <n v="3"/>
    <n v="2"/>
    <x v="0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m/>
    <m/>
    <m/>
    <m/>
  </r>
  <r>
    <n v="35"/>
    <s v="No"/>
    <s v="Non-Travel"/>
    <n v="1097"/>
    <s v="Research &amp; Development"/>
    <n v="11"/>
    <n v="2"/>
    <s v="Medical"/>
    <n v="1"/>
    <n v="70"/>
    <n v="3"/>
    <s v="Male"/>
    <n v="79"/>
    <n v="2"/>
    <n v="3"/>
    <x v="4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m/>
    <m/>
    <m/>
    <m/>
  </r>
  <r>
    <n v="26"/>
    <s v="No"/>
    <s v="Travel_Rarely"/>
    <n v="1443"/>
    <s v="Sales"/>
    <n v="23"/>
    <n v="3"/>
    <s v="Marketing"/>
    <n v="1"/>
    <n v="72"/>
    <n v="3"/>
    <s v="Female"/>
    <n v="47"/>
    <n v="2"/>
    <n v="2"/>
    <x v="0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m/>
    <m/>
    <m/>
    <m/>
  </r>
  <r>
    <n v="33"/>
    <s v="No"/>
    <s v="Travel_Frequently"/>
    <n v="515"/>
    <s v="Research &amp; Development"/>
    <n v="1"/>
    <n v="2"/>
    <s v="Life Sciences"/>
    <n v="1"/>
    <n v="73"/>
    <n v="1"/>
    <s v="Female"/>
    <n v="98"/>
    <n v="3"/>
    <n v="3"/>
    <x v="7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m/>
    <m/>
    <m/>
    <m/>
  </r>
  <r>
    <n v="35"/>
    <s v="No"/>
    <s v="Travel_Frequently"/>
    <n v="853"/>
    <s v="Sales"/>
    <n v="18"/>
    <n v="5"/>
    <s v="Life Sciences"/>
    <n v="1"/>
    <n v="74"/>
    <n v="2"/>
    <s v="Male"/>
    <n v="71"/>
    <n v="3"/>
    <n v="3"/>
    <x v="0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m/>
    <m/>
    <m/>
    <m/>
  </r>
  <r>
    <n v="35"/>
    <s v="No"/>
    <s v="Travel_Rarely"/>
    <n v="1142"/>
    <s v="Research &amp; Development"/>
    <n v="23"/>
    <n v="4"/>
    <s v="Medical"/>
    <n v="1"/>
    <n v="75"/>
    <n v="3"/>
    <s v="Female"/>
    <n v="30"/>
    <n v="3"/>
    <n v="1"/>
    <x v="2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m/>
    <m/>
    <m/>
    <m/>
  </r>
  <r>
    <n v="31"/>
    <s v="No"/>
    <s v="Travel_Rarely"/>
    <n v="655"/>
    <s v="Research &amp; Development"/>
    <n v="7"/>
    <n v="4"/>
    <s v="Life Sciences"/>
    <n v="1"/>
    <n v="76"/>
    <n v="4"/>
    <s v="Male"/>
    <n v="48"/>
    <n v="3"/>
    <n v="2"/>
    <x v="2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m/>
    <m/>
    <m/>
    <m/>
  </r>
  <r>
    <n v="37"/>
    <s v="No"/>
    <s v="Travel_Rarely"/>
    <n v="1115"/>
    <s v="Research &amp; Development"/>
    <n v="1"/>
    <n v="4"/>
    <s v="Life Sciences"/>
    <n v="1"/>
    <n v="77"/>
    <n v="1"/>
    <s v="Male"/>
    <n v="51"/>
    <n v="2"/>
    <n v="2"/>
    <x v="3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m/>
    <m/>
    <m/>
    <m/>
  </r>
  <r>
    <n v="32"/>
    <s v="No"/>
    <s v="Travel_Rarely"/>
    <n v="427"/>
    <s v="Research &amp; Development"/>
    <n v="1"/>
    <n v="3"/>
    <s v="Medical"/>
    <n v="1"/>
    <n v="78"/>
    <n v="1"/>
    <s v="Male"/>
    <n v="33"/>
    <n v="3"/>
    <n v="2"/>
    <x v="3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m/>
    <m/>
    <m/>
    <m/>
  </r>
  <r>
    <n v="38"/>
    <s v="No"/>
    <s v="Travel_Frequently"/>
    <n v="653"/>
    <s v="Research &amp; Development"/>
    <n v="29"/>
    <n v="5"/>
    <s v="Life Sciences"/>
    <n v="1"/>
    <n v="79"/>
    <n v="4"/>
    <s v="Female"/>
    <n v="50"/>
    <n v="3"/>
    <n v="2"/>
    <x v="2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m/>
    <m/>
    <m/>
    <m/>
  </r>
  <r>
    <n v="50"/>
    <s v="No"/>
    <s v="Travel_Rarely"/>
    <n v="989"/>
    <s v="Research &amp; Development"/>
    <n v="7"/>
    <n v="2"/>
    <s v="Medical"/>
    <n v="1"/>
    <n v="80"/>
    <n v="2"/>
    <s v="Female"/>
    <n v="43"/>
    <n v="2"/>
    <n v="5"/>
    <x v="7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m/>
    <m/>
    <m/>
    <m/>
  </r>
  <r>
    <n v="59"/>
    <s v="No"/>
    <s v="Travel_Rarely"/>
    <n v="1435"/>
    <s v="Sales"/>
    <n v="25"/>
    <n v="3"/>
    <s v="Life Sciences"/>
    <n v="1"/>
    <n v="81"/>
    <n v="1"/>
    <s v="Female"/>
    <n v="99"/>
    <n v="3"/>
    <n v="3"/>
    <x v="0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m/>
    <m/>
    <m/>
    <m/>
  </r>
  <r>
    <n v="36"/>
    <s v="No"/>
    <s v="Travel_Rarely"/>
    <n v="1223"/>
    <s v="Research &amp; Development"/>
    <n v="8"/>
    <n v="3"/>
    <s v="Technical Degree"/>
    <n v="1"/>
    <n v="83"/>
    <n v="3"/>
    <s v="Female"/>
    <n v="59"/>
    <n v="3"/>
    <n v="3"/>
    <x v="4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m/>
    <m/>
    <m/>
    <m/>
  </r>
  <r>
    <n v="55"/>
    <s v="No"/>
    <s v="Travel_Rarely"/>
    <n v="836"/>
    <s v="Research &amp; Development"/>
    <n v="8"/>
    <n v="3"/>
    <s v="Medical"/>
    <n v="1"/>
    <n v="84"/>
    <n v="4"/>
    <s v="Female"/>
    <n v="33"/>
    <n v="3"/>
    <n v="4"/>
    <x v="5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m/>
    <m/>
    <m/>
    <m/>
  </r>
  <r>
    <n v="36"/>
    <s v="No"/>
    <s v="Travel_Frequently"/>
    <n v="1195"/>
    <s v="Research &amp; Development"/>
    <n v="11"/>
    <n v="3"/>
    <s v="Life Sciences"/>
    <n v="1"/>
    <n v="85"/>
    <n v="2"/>
    <s v="Male"/>
    <n v="95"/>
    <n v="2"/>
    <n v="2"/>
    <x v="3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m/>
    <m/>
    <m/>
    <m/>
  </r>
  <r>
    <n v="45"/>
    <s v="No"/>
    <s v="Travel_Rarely"/>
    <n v="1339"/>
    <s v="Research &amp; Development"/>
    <n v="7"/>
    <n v="3"/>
    <s v="Life Sciences"/>
    <n v="1"/>
    <n v="86"/>
    <n v="2"/>
    <s v="Male"/>
    <n v="59"/>
    <n v="3"/>
    <n v="3"/>
    <x v="1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m/>
    <m/>
    <m/>
    <m/>
  </r>
  <r>
    <n v="35"/>
    <s v="No"/>
    <s v="Travel_Frequently"/>
    <n v="664"/>
    <s v="Research &amp; Development"/>
    <n v="1"/>
    <n v="3"/>
    <s v="Medical"/>
    <n v="1"/>
    <n v="88"/>
    <n v="2"/>
    <s v="Male"/>
    <n v="79"/>
    <n v="3"/>
    <n v="1"/>
    <x v="1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m/>
    <m/>
    <m/>
    <m/>
  </r>
  <r>
    <n v="36"/>
    <s v="Yes"/>
    <s v="Travel_Rarely"/>
    <n v="318"/>
    <s v="Research &amp; Development"/>
    <n v="9"/>
    <n v="3"/>
    <s v="Medical"/>
    <n v="1"/>
    <n v="90"/>
    <n v="4"/>
    <s v="Male"/>
    <n v="79"/>
    <n v="2"/>
    <n v="1"/>
    <x v="1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m/>
    <m/>
    <m/>
    <m/>
  </r>
  <r>
    <n v="59"/>
    <s v="No"/>
    <s v="Travel_Frequently"/>
    <n v="1225"/>
    <s v="Sales"/>
    <n v="1"/>
    <n v="1"/>
    <s v="Life Sciences"/>
    <n v="1"/>
    <n v="91"/>
    <n v="1"/>
    <s v="Female"/>
    <n v="57"/>
    <n v="2"/>
    <n v="2"/>
    <x v="0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m/>
    <m/>
    <m/>
    <m/>
  </r>
  <r>
    <n v="29"/>
    <s v="No"/>
    <s v="Travel_Rarely"/>
    <n v="1328"/>
    <s v="Research &amp; Development"/>
    <n v="2"/>
    <n v="3"/>
    <s v="Life Sciences"/>
    <n v="1"/>
    <n v="94"/>
    <n v="3"/>
    <s v="Male"/>
    <n v="76"/>
    <n v="3"/>
    <n v="1"/>
    <x v="1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m/>
    <m/>
    <m/>
    <m/>
  </r>
  <r>
    <n v="31"/>
    <s v="No"/>
    <s v="Travel_Rarely"/>
    <n v="1082"/>
    <s v="Research &amp; Development"/>
    <n v="1"/>
    <n v="4"/>
    <s v="Medical"/>
    <n v="1"/>
    <n v="95"/>
    <n v="3"/>
    <s v="Male"/>
    <n v="87"/>
    <n v="3"/>
    <n v="1"/>
    <x v="1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m/>
    <m/>
    <m/>
    <m/>
  </r>
  <r>
    <n v="32"/>
    <s v="No"/>
    <s v="Travel_Rarely"/>
    <n v="548"/>
    <s v="Research &amp; Development"/>
    <n v="1"/>
    <n v="3"/>
    <s v="Life Sciences"/>
    <n v="1"/>
    <n v="96"/>
    <n v="2"/>
    <s v="Male"/>
    <n v="66"/>
    <n v="3"/>
    <n v="2"/>
    <x v="1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m/>
    <m/>
    <m/>
    <m/>
  </r>
  <r>
    <n v="36"/>
    <s v="No"/>
    <s v="Travel_Rarely"/>
    <n v="132"/>
    <s v="Research &amp; Development"/>
    <n v="6"/>
    <n v="3"/>
    <s v="Life Sciences"/>
    <n v="1"/>
    <n v="97"/>
    <n v="2"/>
    <s v="Female"/>
    <n v="55"/>
    <n v="4"/>
    <n v="1"/>
    <x v="2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m/>
    <m/>
    <m/>
    <m/>
  </r>
  <r>
    <n v="31"/>
    <s v="No"/>
    <s v="Travel_Rarely"/>
    <n v="746"/>
    <s v="Research &amp; Development"/>
    <n v="8"/>
    <n v="4"/>
    <s v="Life Sciences"/>
    <n v="1"/>
    <n v="98"/>
    <n v="3"/>
    <s v="Female"/>
    <n v="61"/>
    <n v="3"/>
    <n v="2"/>
    <x v="3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m/>
    <m/>
    <m/>
    <m/>
  </r>
  <r>
    <n v="35"/>
    <s v="No"/>
    <s v="Travel_Rarely"/>
    <n v="776"/>
    <s v="Sales"/>
    <n v="1"/>
    <n v="4"/>
    <s v="Marketing"/>
    <n v="1"/>
    <n v="100"/>
    <n v="3"/>
    <s v="Male"/>
    <n v="32"/>
    <n v="2"/>
    <n v="2"/>
    <x v="0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m/>
    <m/>
    <m/>
    <m/>
  </r>
  <r>
    <n v="45"/>
    <s v="No"/>
    <s v="Travel_Rarely"/>
    <n v="193"/>
    <s v="Research &amp; Development"/>
    <n v="6"/>
    <n v="4"/>
    <s v="Other"/>
    <n v="1"/>
    <n v="101"/>
    <n v="4"/>
    <s v="Male"/>
    <n v="52"/>
    <n v="3"/>
    <n v="3"/>
    <x v="7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m/>
    <m/>
    <m/>
    <m/>
  </r>
  <r>
    <n v="37"/>
    <s v="No"/>
    <s v="Travel_Rarely"/>
    <n v="397"/>
    <s v="Research &amp; Development"/>
    <n v="7"/>
    <n v="4"/>
    <s v="Medical"/>
    <n v="1"/>
    <n v="102"/>
    <n v="1"/>
    <s v="Male"/>
    <n v="30"/>
    <n v="3"/>
    <n v="3"/>
    <x v="7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m/>
    <m/>
    <m/>
    <m/>
  </r>
  <r>
    <n v="46"/>
    <s v="No"/>
    <s v="Travel_Rarely"/>
    <n v="945"/>
    <s v="Human Resources"/>
    <n v="5"/>
    <n v="2"/>
    <s v="Medical"/>
    <n v="1"/>
    <n v="103"/>
    <n v="2"/>
    <s v="Male"/>
    <n v="80"/>
    <n v="3"/>
    <n v="2"/>
    <x v="8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m/>
    <m/>
    <m/>
    <m/>
  </r>
  <r>
    <n v="30"/>
    <s v="No"/>
    <s v="Travel_Rarely"/>
    <n v="852"/>
    <s v="Research &amp; Development"/>
    <n v="1"/>
    <n v="1"/>
    <s v="Life Sciences"/>
    <n v="1"/>
    <n v="104"/>
    <n v="4"/>
    <s v="Male"/>
    <n v="55"/>
    <n v="2"/>
    <n v="2"/>
    <x v="2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m/>
    <m/>
    <m/>
    <m/>
  </r>
  <r>
    <n v="35"/>
    <s v="No"/>
    <s v="Travel_Rarely"/>
    <n v="1214"/>
    <s v="Research &amp; Development"/>
    <n v="1"/>
    <n v="3"/>
    <s v="Medical"/>
    <n v="1"/>
    <n v="105"/>
    <n v="2"/>
    <s v="Male"/>
    <n v="30"/>
    <n v="2"/>
    <n v="1"/>
    <x v="1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m/>
    <m/>
    <m/>
    <m/>
  </r>
  <r>
    <n v="55"/>
    <s v="No"/>
    <s v="Travel_Rarely"/>
    <n v="111"/>
    <s v="Sales"/>
    <n v="1"/>
    <n v="2"/>
    <s v="Life Sciences"/>
    <n v="1"/>
    <n v="106"/>
    <n v="1"/>
    <s v="Male"/>
    <n v="70"/>
    <n v="3"/>
    <n v="3"/>
    <x v="0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m/>
    <m/>
    <m/>
    <m/>
  </r>
  <r>
    <n v="38"/>
    <s v="No"/>
    <s v="Non-Travel"/>
    <n v="573"/>
    <s v="Research &amp; Development"/>
    <n v="6"/>
    <n v="3"/>
    <s v="Medical"/>
    <n v="1"/>
    <n v="107"/>
    <n v="2"/>
    <s v="Female"/>
    <n v="79"/>
    <n v="1"/>
    <n v="2"/>
    <x v="1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m/>
    <m/>
    <m/>
    <m/>
  </r>
  <r>
    <n v="34"/>
    <s v="No"/>
    <s v="Travel_Rarely"/>
    <n v="1153"/>
    <s v="Research &amp; Development"/>
    <n v="1"/>
    <n v="2"/>
    <s v="Medical"/>
    <n v="1"/>
    <n v="110"/>
    <n v="1"/>
    <s v="Male"/>
    <n v="94"/>
    <n v="3"/>
    <n v="2"/>
    <x v="3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m/>
    <m/>
    <m/>
    <m/>
  </r>
  <r>
    <n v="56"/>
    <s v="No"/>
    <s v="Travel_Rarely"/>
    <n v="1400"/>
    <s v="Research &amp; Development"/>
    <n v="7"/>
    <n v="3"/>
    <s v="Life Sciences"/>
    <n v="1"/>
    <n v="112"/>
    <n v="4"/>
    <s v="Male"/>
    <n v="49"/>
    <n v="1"/>
    <n v="3"/>
    <x v="3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m/>
    <m/>
    <m/>
    <m/>
  </r>
  <r>
    <n v="23"/>
    <s v="No"/>
    <s v="Travel_Rarely"/>
    <n v="541"/>
    <s v="Sales"/>
    <n v="2"/>
    <n v="1"/>
    <s v="Technical Degree"/>
    <n v="1"/>
    <n v="113"/>
    <n v="3"/>
    <s v="Male"/>
    <n v="62"/>
    <n v="3"/>
    <n v="1"/>
    <x v="6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m/>
    <m/>
    <m/>
    <m/>
  </r>
  <r>
    <n v="51"/>
    <s v="No"/>
    <s v="Travel_Rarely"/>
    <n v="432"/>
    <s v="Research &amp; Development"/>
    <n v="9"/>
    <n v="4"/>
    <s v="Life Sciences"/>
    <n v="1"/>
    <n v="116"/>
    <n v="4"/>
    <s v="Male"/>
    <n v="96"/>
    <n v="3"/>
    <n v="1"/>
    <x v="2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m/>
    <m/>
    <m/>
    <m/>
  </r>
  <r>
    <n v="30"/>
    <s v="No"/>
    <s v="Travel_Rarely"/>
    <n v="288"/>
    <s v="Research &amp; Development"/>
    <n v="2"/>
    <n v="3"/>
    <s v="Life Sciences"/>
    <n v="1"/>
    <n v="117"/>
    <n v="3"/>
    <s v="Male"/>
    <n v="99"/>
    <n v="2"/>
    <n v="2"/>
    <x v="4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m/>
    <m/>
    <m/>
    <m/>
  </r>
  <r>
    <n v="46"/>
    <s v="Yes"/>
    <s v="Travel_Rarely"/>
    <n v="669"/>
    <s v="Sales"/>
    <n v="9"/>
    <n v="2"/>
    <s v="Medical"/>
    <n v="1"/>
    <n v="118"/>
    <n v="3"/>
    <s v="Male"/>
    <n v="64"/>
    <n v="2"/>
    <n v="3"/>
    <x v="0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m/>
    <m/>
    <m/>
    <m/>
  </r>
  <r>
    <n v="40"/>
    <s v="No"/>
    <s v="Travel_Frequently"/>
    <n v="530"/>
    <s v="Research &amp; Development"/>
    <n v="1"/>
    <n v="4"/>
    <s v="Life Sciences"/>
    <n v="1"/>
    <n v="119"/>
    <n v="3"/>
    <s v="Male"/>
    <n v="78"/>
    <n v="2"/>
    <n v="4"/>
    <x v="4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m/>
    <m/>
    <m/>
    <m/>
  </r>
  <r>
    <n v="51"/>
    <s v="No"/>
    <s v="Travel_Rarely"/>
    <n v="632"/>
    <s v="Sales"/>
    <n v="21"/>
    <n v="4"/>
    <s v="Marketing"/>
    <n v="1"/>
    <n v="120"/>
    <n v="3"/>
    <s v="Male"/>
    <n v="71"/>
    <n v="3"/>
    <n v="2"/>
    <x v="0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m/>
    <m/>
    <m/>
    <m/>
  </r>
  <r>
    <n v="30"/>
    <s v="No"/>
    <s v="Travel_Rarely"/>
    <n v="1334"/>
    <s v="Sales"/>
    <n v="4"/>
    <n v="2"/>
    <s v="Medical"/>
    <n v="1"/>
    <n v="121"/>
    <n v="3"/>
    <s v="Female"/>
    <n v="63"/>
    <n v="2"/>
    <n v="2"/>
    <x v="0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m/>
    <m/>
    <m/>
    <m/>
  </r>
  <r>
    <n v="46"/>
    <s v="No"/>
    <s v="Travel_Frequently"/>
    <n v="638"/>
    <s v="Research &amp; Development"/>
    <n v="1"/>
    <n v="3"/>
    <s v="Medical"/>
    <n v="1"/>
    <n v="124"/>
    <n v="3"/>
    <s v="Male"/>
    <n v="40"/>
    <n v="2"/>
    <n v="3"/>
    <x v="4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m/>
    <m/>
    <m/>
    <m/>
  </r>
  <r>
    <n v="32"/>
    <s v="No"/>
    <s v="Travel_Rarely"/>
    <n v="1093"/>
    <s v="Sales"/>
    <n v="6"/>
    <n v="4"/>
    <s v="Medical"/>
    <n v="1"/>
    <n v="125"/>
    <n v="2"/>
    <s v="Male"/>
    <n v="87"/>
    <n v="3"/>
    <n v="2"/>
    <x v="0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m/>
    <m/>
    <m/>
    <m/>
  </r>
  <r>
    <n v="54"/>
    <s v="No"/>
    <s v="Travel_Rarely"/>
    <n v="1217"/>
    <s v="Research &amp; Development"/>
    <n v="2"/>
    <n v="4"/>
    <s v="Technical Degree"/>
    <n v="1"/>
    <n v="126"/>
    <n v="1"/>
    <s v="Female"/>
    <n v="60"/>
    <n v="3"/>
    <n v="3"/>
    <x v="7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m/>
    <m/>
    <m/>
    <m/>
  </r>
  <r>
    <n v="24"/>
    <s v="No"/>
    <s v="Travel_Rarely"/>
    <n v="1353"/>
    <s v="Sales"/>
    <n v="3"/>
    <n v="2"/>
    <s v="Other"/>
    <n v="1"/>
    <n v="128"/>
    <n v="1"/>
    <s v="Female"/>
    <n v="33"/>
    <n v="3"/>
    <n v="2"/>
    <x v="0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m/>
    <m/>
    <m/>
    <m/>
  </r>
  <r>
    <n v="28"/>
    <s v="No"/>
    <s v="Non-Travel"/>
    <n v="120"/>
    <s v="Sales"/>
    <n v="4"/>
    <n v="3"/>
    <s v="Medical"/>
    <n v="1"/>
    <n v="129"/>
    <n v="2"/>
    <s v="Male"/>
    <n v="43"/>
    <n v="3"/>
    <n v="2"/>
    <x v="0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m/>
    <m/>
    <m/>
    <m/>
  </r>
  <r>
    <n v="58"/>
    <s v="No"/>
    <s v="Travel_Rarely"/>
    <n v="682"/>
    <s v="Sales"/>
    <n v="10"/>
    <n v="4"/>
    <s v="Medical"/>
    <n v="1"/>
    <n v="131"/>
    <n v="4"/>
    <s v="Male"/>
    <n v="37"/>
    <n v="3"/>
    <n v="4"/>
    <x v="0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m/>
    <m/>
    <m/>
    <m/>
  </r>
  <r>
    <n v="44"/>
    <s v="No"/>
    <s v="Non-Travel"/>
    <n v="489"/>
    <s v="Research &amp; Development"/>
    <n v="23"/>
    <n v="3"/>
    <s v="Medical"/>
    <n v="1"/>
    <n v="132"/>
    <n v="2"/>
    <s v="Male"/>
    <n v="67"/>
    <n v="3"/>
    <n v="2"/>
    <x v="2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m/>
    <m/>
    <m/>
    <m/>
  </r>
  <r>
    <n v="37"/>
    <s v="Yes"/>
    <s v="Travel_Rarely"/>
    <n v="807"/>
    <s v="Human Resources"/>
    <n v="6"/>
    <n v="4"/>
    <s v="Human Resources"/>
    <n v="1"/>
    <n v="133"/>
    <n v="3"/>
    <s v="Male"/>
    <n v="63"/>
    <n v="3"/>
    <n v="1"/>
    <x v="8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m/>
    <m/>
    <m/>
    <m/>
  </r>
  <r>
    <n v="32"/>
    <s v="No"/>
    <s v="Travel_Rarely"/>
    <n v="827"/>
    <s v="Research &amp; Development"/>
    <n v="1"/>
    <n v="1"/>
    <s v="Life Sciences"/>
    <n v="1"/>
    <n v="134"/>
    <n v="4"/>
    <s v="Male"/>
    <n v="71"/>
    <n v="3"/>
    <n v="1"/>
    <x v="1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m/>
    <m/>
    <m/>
    <m/>
  </r>
  <r>
    <n v="20"/>
    <s v="Yes"/>
    <s v="Travel_Frequently"/>
    <n v="871"/>
    <s v="Research &amp; Development"/>
    <n v="6"/>
    <n v="3"/>
    <s v="Life Sciences"/>
    <n v="1"/>
    <n v="137"/>
    <n v="4"/>
    <s v="Female"/>
    <n v="66"/>
    <n v="2"/>
    <n v="1"/>
    <x v="2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m/>
    <m/>
    <m/>
    <m/>
  </r>
  <r>
    <n v="34"/>
    <s v="No"/>
    <s v="Travel_Rarely"/>
    <n v="665"/>
    <s v="Research &amp; Development"/>
    <n v="6"/>
    <n v="4"/>
    <s v="Other"/>
    <n v="1"/>
    <n v="138"/>
    <n v="1"/>
    <s v="Female"/>
    <n v="41"/>
    <n v="3"/>
    <n v="2"/>
    <x v="1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m/>
    <m/>
    <m/>
    <m/>
  </r>
  <r>
    <n v="37"/>
    <s v="No"/>
    <s v="Non-Travel"/>
    <n v="1040"/>
    <s v="Research &amp; Development"/>
    <n v="2"/>
    <n v="2"/>
    <s v="Life Sciences"/>
    <n v="1"/>
    <n v="139"/>
    <n v="3"/>
    <s v="Male"/>
    <n v="100"/>
    <n v="2"/>
    <n v="2"/>
    <x v="4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m/>
    <m/>
    <m/>
    <m/>
  </r>
  <r>
    <n v="59"/>
    <s v="No"/>
    <s v="Non-Travel"/>
    <n v="1420"/>
    <s v="Human Resources"/>
    <n v="2"/>
    <n v="4"/>
    <s v="Human Resources"/>
    <n v="1"/>
    <n v="140"/>
    <n v="3"/>
    <s v="Female"/>
    <n v="32"/>
    <n v="2"/>
    <n v="5"/>
    <x v="5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m/>
    <m/>
    <m/>
    <m/>
  </r>
  <r>
    <n v="50"/>
    <s v="No"/>
    <s v="Travel_Frequently"/>
    <n v="1115"/>
    <s v="Research &amp; Development"/>
    <n v="1"/>
    <n v="3"/>
    <s v="Life Sciences"/>
    <n v="1"/>
    <n v="141"/>
    <n v="1"/>
    <s v="Female"/>
    <n v="73"/>
    <n v="3"/>
    <n v="5"/>
    <x v="7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m/>
    <m/>
    <m/>
    <m/>
  </r>
  <r>
    <n v="25"/>
    <s v="Yes"/>
    <s v="Travel_Rarely"/>
    <n v="240"/>
    <s v="Sales"/>
    <n v="5"/>
    <n v="3"/>
    <s v="Marketing"/>
    <n v="1"/>
    <n v="142"/>
    <n v="3"/>
    <s v="Male"/>
    <n v="46"/>
    <n v="2"/>
    <n v="2"/>
    <x v="0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m/>
    <m/>
    <m/>
    <m/>
  </r>
  <r>
    <n v="25"/>
    <s v="No"/>
    <s v="Travel_Rarely"/>
    <n v="1280"/>
    <s v="Research &amp; Development"/>
    <n v="7"/>
    <n v="1"/>
    <s v="Medical"/>
    <n v="1"/>
    <n v="143"/>
    <n v="4"/>
    <s v="Male"/>
    <n v="64"/>
    <n v="2"/>
    <n v="1"/>
    <x v="1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m/>
    <m/>
    <m/>
    <m/>
  </r>
  <r>
    <n v="22"/>
    <s v="No"/>
    <s v="Travel_Rarely"/>
    <n v="534"/>
    <s v="Research &amp; Development"/>
    <n v="15"/>
    <n v="3"/>
    <s v="Medical"/>
    <n v="1"/>
    <n v="144"/>
    <n v="2"/>
    <s v="Female"/>
    <n v="59"/>
    <n v="3"/>
    <n v="1"/>
    <x v="2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m/>
    <m/>
    <m/>
    <m/>
  </r>
  <r>
    <n v="51"/>
    <s v="No"/>
    <s v="Travel_Frequently"/>
    <n v="1456"/>
    <s v="Research &amp; Development"/>
    <n v="1"/>
    <n v="4"/>
    <s v="Medical"/>
    <n v="1"/>
    <n v="145"/>
    <n v="1"/>
    <s v="Female"/>
    <n v="30"/>
    <n v="2"/>
    <n v="3"/>
    <x v="4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m/>
    <m/>
    <m/>
    <m/>
  </r>
  <r>
    <n v="34"/>
    <s v="Yes"/>
    <s v="Travel_Frequently"/>
    <n v="658"/>
    <s v="Research &amp; Development"/>
    <n v="7"/>
    <n v="3"/>
    <s v="Life Sciences"/>
    <n v="1"/>
    <n v="147"/>
    <n v="1"/>
    <s v="Male"/>
    <n v="66"/>
    <n v="1"/>
    <n v="2"/>
    <x v="2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m/>
    <m/>
    <m/>
    <m/>
  </r>
  <r>
    <n v="54"/>
    <s v="No"/>
    <s v="Non-Travel"/>
    <n v="142"/>
    <s v="Human Resources"/>
    <n v="26"/>
    <n v="3"/>
    <s v="Human Resources"/>
    <n v="1"/>
    <n v="148"/>
    <n v="4"/>
    <s v="Female"/>
    <n v="30"/>
    <n v="4"/>
    <n v="4"/>
    <x v="5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m/>
    <m/>
    <m/>
    <m/>
  </r>
  <r>
    <n v="24"/>
    <s v="No"/>
    <s v="Travel_Rarely"/>
    <n v="1127"/>
    <s v="Research &amp; Development"/>
    <n v="18"/>
    <n v="1"/>
    <s v="Life Sciences"/>
    <n v="1"/>
    <n v="150"/>
    <n v="2"/>
    <s v="Male"/>
    <n v="52"/>
    <n v="3"/>
    <n v="1"/>
    <x v="2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m/>
    <m/>
    <m/>
    <m/>
  </r>
  <r>
    <n v="34"/>
    <s v="No"/>
    <s v="Travel_Rarely"/>
    <n v="1031"/>
    <s v="Research &amp; Development"/>
    <n v="6"/>
    <n v="4"/>
    <s v="Life Sciences"/>
    <n v="1"/>
    <n v="151"/>
    <n v="3"/>
    <s v="Female"/>
    <n v="45"/>
    <n v="2"/>
    <n v="2"/>
    <x v="1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m/>
    <m/>
    <m/>
    <m/>
  </r>
  <r>
    <n v="37"/>
    <s v="No"/>
    <s v="Travel_Rarely"/>
    <n v="1189"/>
    <s v="Sales"/>
    <n v="3"/>
    <n v="3"/>
    <s v="Life Sciences"/>
    <n v="1"/>
    <n v="152"/>
    <n v="3"/>
    <s v="Male"/>
    <n v="87"/>
    <n v="3"/>
    <n v="3"/>
    <x v="0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m/>
    <m/>
    <m/>
    <m/>
  </r>
  <r>
    <n v="34"/>
    <s v="No"/>
    <s v="Travel_Rarely"/>
    <n v="1354"/>
    <s v="Research &amp; Development"/>
    <n v="5"/>
    <n v="3"/>
    <s v="Medical"/>
    <n v="1"/>
    <n v="153"/>
    <n v="3"/>
    <s v="Female"/>
    <n v="45"/>
    <n v="2"/>
    <n v="3"/>
    <x v="5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m/>
    <m/>
    <m/>
    <m/>
  </r>
  <r>
    <n v="36"/>
    <s v="No"/>
    <s v="Travel_Frequently"/>
    <n v="1467"/>
    <s v="Sales"/>
    <n v="11"/>
    <n v="2"/>
    <s v="Technical Degree"/>
    <n v="1"/>
    <n v="154"/>
    <n v="2"/>
    <s v="Female"/>
    <n v="92"/>
    <n v="3"/>
    <n v="3"/>
    <x v="0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m/>
    <m/>
    <m/>
    <m/>
  </r>
  <r>
    <n v="36"/>
    <s v="No"/>
    <s v="Travel_Rarely"/>
    <n v="922"/>
    <s v="Research &amp; Development"/>
    <n v="3"/>
    <n v="2"/>
    <s v="Life Sciences"/>
    <n v="1"/>
    <n v="155"/>
    <n v="1"/>
    <s v="Female"/>
    <n v="39"/>
    <n v="3"/>
    <n v="1"/>
    <x v="2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m/>
    <m/>
    <m/>
    <m/>
  </r>
  <r>
    <n v="43"/>
    <s v="No"/>
    <s v="Travel_Frequently"/>
    <n v="394"/>
    <s v="Sales"/>
    <n v="26"/>
    <n v="2"/>
    <s v="Life Sciences"/>
    <n v="1"/>
    <n v="158"/>
    <n v="3"/>
    <s v="Male"/>
    <n v="92"/>
    <n v="3"/>
    <n v="4"/>
    <x v="5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m/>
    <m/>
    <m/>
    <m/>
  </r>
  <r>
    <n v="30"/>
    <s v="No"/>
    <s v="Travel_Frequently"/>
    <n v="1312"/>
    <s v="Research &amp; Development"/>
    <n v="23"/>
    <n v="3"/>
    <s v="Life Sciences"/>
    <n v="1"/>
    <n v="159"/>
    <n v="1"/>
    <s v="Male"/>
    <n v="96"/>
    <n v="1"/>
    <n v="1"/>
    <x v="1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m/>
    <m/>
    <m/>
    <m/>
  </r>
  <r>
    <n v="33"/>
    <s v="No"/>
    <s v="Non-Travel"/>
    <n v="750"/>
    <s v="Sales"/>
    <n v="22"/>
    <n v="2"/>
    <s v="Marketing"/>
    <n v="1"/>
    <n v="160"/>
    <n v="3"/>
    <s v="Male"/>
    <n v="95"/>
    <n v="3"/>
    <n v="2"/>
    <x v="0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m/>
    <m/>
    <m/>
    <m/>
  </r>
  <r>
    <n v="56"/>
    <s v="Yes"/>
    <s v="Travel_Rarely"/>
    <n v="441"/>
    <s v="Research &amp; Development"/>
    <n v="14"/>
    <n v="4"/>
    <s v="Life Sciences"/>
    <n v="1"/>
    <n v="161"/>
    <n v="2"/>
    <s v="Female"/>
    <n v="72"/>
    <n v="3"/>
    <n v="1"/>
    <x v="1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m/>
    <m/>
    <m/>
    <m/>
  </r>
  <r>
    <n v="51"/>
    <s v="No"/>
    <s v="Travel_Rarely"/>
    <n v="684"/>
    <s v="Research &amp; Development"/>
    <n v="6"/>
    <n v="3"/>
    <s v="Life Sciences"/>
    <n v="1"/>
    <n v="162"/>
    <n v="1"/>
    <s v="Male"/>
    <n v="51"/>
    <n v="3"/>
    <n v="5"/>
    <x v="7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m/>
    <m/>
    <m/>
    <m/>
  </r>
  <r>
    <n v="31"/>
    <s v="Yes"/>
    <s v="Travel_Rarely"/>
    <n v="249"/>
    <s v="Sales"/>
    <n v="6"/>
    <n v="4"/>
    <s v="Life Sciences"/>
    <n v="1"/>
    <n v="163"/>
    <n v="2"/>
    <s v="Male"/>
    <n v="76"/>
    <n v="1"/>
    <n v="2"/>
    <x v="0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m/>
    <m/>
    <m/>
    <m/>
  </r>
  <r>
    <n v="26"/>
    <s v="No"/>
    <s v="Travel_Rarely"/>
    <n v="841"/>
    <s v="Research &amp; Development"/>
    <n v="6"/>
    <n v="3"/>
    <s v="Other"/>
    <n v="1"/>
    <n v="164"/>
    <n v="3"/>
    <s v="Female"/>
    <n v="46"/>
    <n v="2"/>
    <n v="1"/>
    <x v="1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m/>
    <m/>
    <m/>
    <m/>
  </r>
  <r>
    <n v="58"/>
    <s v="Yes"/>
    <s v="Travel_Rarely"/>
    <n v="147"/>
    <s v="Research &amp; Development"/>
    <n v="23"/>
    <n v="4"/>
    <s v="Medical"/>
    <n v="1"/>
    <n v="165"/>
    <n v="4"/>
    <s v="Female"/>
    <n v="94"/>
    <n v="3"/>
    <n v="3"/>
    <x v="4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m/>
    <m/>
    <m/>
    <m/>
  </r>
  <r>
    <n v="19"/>
    <s v="Yes"/>
    <s v="Travel_Rarely"/>
    <n v="528"/>
    <s v="Sales"/>
    <n v="22"/>
    <n v="1"/>
    <s v="Marketing"/>
    <n v="1"/>
    <n v="167"/>
    <n v="4"/>
    <s v="Male"/>
    <n v="50"/>
    <n v="3"/>
    <n v="1"/>
    <x v="6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m/>
    <m/>
    <m/>
    <m/>
  </r>
  <r>
    <n v="22"/>
    <s v="No"/>
    <s v="Travel_Rarely"/>
    <n v="594"/>
    <s v="Research &amp; Development"/>
    <n v="2"/>
    <n v="1"/>
    <s v="Technical Degree"/>
    <n v="1"/>
    <n v="169"/>
    <n v="3"/>
    <s v="Male"/>
    <n v="100"/>
    <n v="3"/>
    <n v="1"/>
    <x v="2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m/>
    <m/>
    <m/>
    <m/>
  </r>
  <r>
    <n v="49"/>
    <s v="No"/>
    <s v="Travel_Rarely"/>
    <n v="470"/>
    <s v="Research &amp; Development"/>
    <n v="20"/>
    <n v="4"/>
    <s v="Medical"/>
    <n v="1"/>
    <n v="170"/>
    <n v="3"/>
    <s v="Female"/>
    <n v="96"/>
    <n v="3"/>
    <n v="2"/>
    <x v="3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m/>
    <m/>
    <m/>
    <m/>
  </r>
  <r>
    <n v="43"/>
    <s v="No"/>
    <s v="Travel_Frequently"/>
    <n v="957"/>
    <s v="Research &amp; Development"/>
    <n v="28"/>
    <n v="3"/>
    <s v="Medical"/>
    <n v="1"/>
    <n v="171"/>
    <n v="2"/>
    <s v="Female"/>
    <n v="72"/>
    <n v="4"/>
    <n v="1"/>
    <x v="1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m/>
    <m/>
    <m/>
    <m/>
  </r>
  <r>
    <n v="50"/>
    <s v="No"/>
    <s v="Travel_Frequently"/>
    <n v="809"/>
    <s v="Sales"/>
    <n v="12"/>
    <n v="3"/>
    <s v="Marketing"/>
    <n v="1"/>
    <n v="174"/>
    <n v="3"/>
    <s v="Female"/>
    <n v="77"/>
    <n v="3"/>
    <n v="3"/>
    <x v="0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m/>
    <m/>
    <m/>
    <m/>
  </r>
  <r>
    <n v="31"/>
    <s v="Yes"/>
    <s v="Travel_Rarely"/>
    <n v="542"/>
    <s v="Sales"/>
    <n v="20"/>
    <n v="3"/>
    <s v="Life Sciences"/>
    <n v="1"/>
    <n v="175"/>
    <n v="2"/>
    <s v="Female"/>
    <n v="71"/>
    <n v="1"/>
    <n v="2"/>
    <x v="0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m/>
    <m/>
    <m/>
    <m/>
  </r>
  <r>
    <n v="41"/>
    <s v="No"/>
    <s v="Travel_Rarely"/>
    <n v="802"/>
    <s v="Sales"/>
    <n v="9"/>
    <n v="1"/>
    <s v="Life Sciences"/>
    <n v="1"/>
    <n v="176"/>
    <n v="3"/>
    <s v="Male"/>
    <n v="96"/>
    <n v="3"/>
    <n v="3"/>
    <x v="0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m/>
    <m/>
    <m/>
    <m/>
  </r>
  <r>
    <n v="26"/>
    <s v="No"/>
    <s v="Travel_Rarely"/>
    <n v="1355"/>
    <s v="Human Resources"/>
    <n v="25"/>
    <n v="1"/>
    <s v="Life Sciences"/>
    <n v="1"/>
    <n v="177"/>
    <n v="3"/>
    <s v="Female"/>
    <n v="61"/>
    <n v="3"/>
    <n v="1"/>
    <x v="8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m/>
    <m/>
    <m/>
    <m/>
  </r>
  <r>
    <n v="36"/>
    <s v="No"/>
    <s v="Travel_Rarely"/>
    <n v="216"/>
    <s v="Research &amp; Development"/>
    <n v="6"/>
    <n v="2"/>
    <s v="Medical"/>
    <n v="1"/>
    <n v="178"/>
    <n v="2"/>
    <s v="Male"/>
    <n v="84"/>
    <n v="3"/>
    <n v="2"/>
    <x v="3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m/>
    <m/>
    <m/>
    <m/>
  </r>
  <r>
    <n v="51"/>
    <s v="Yes"/>
    <s v="Travel_Frequently"/>
    <n v="1150"/>
    <s v="Research &amp; Development"/>
    <n v="8"/>
    <n v="4"/>
    <s v="Life Sciences"/>
    <n v="1"/>
    <n v="179"/>
    <n v="1"/>
    <s v="Male"/>
    <n v="53"/>
    <n v="1"/>
    <n v="3"/>
    <x v="3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m/>
    <m/>
    <m/>
    <m/>
  </r>
  <r>
    <n v="39"/>
    <s v="No"/>
    <s v="Travel_Rarely"/>
    <n v="1329"/>
    <s v="Sales"/>
    <n v="4"/>
    <n v="4"/>
    <s v="Life Sciences"/>
    <n v="1"/>
    <n v="182"/>
    <n v="4"/>
    <s v="Female"/>
    <n v="47"/>
    <n v="2"/>
    <n v="2"/>
    <x v="0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m/>
    <m/>
    <m/>
    <m/>
  </r>
  <r>
    <n v="25"/>
    <s v="No"/>
    <s v="Travel_Rarely"/>
    <n v="959"/>
    <s v="Sales"/>
    <n v="28"/>
    <n v="3"/>
    <s v="Life Sciences"/>
    <n v="1"/>
    <n v="183"/>
    <n v="1"/>
    <s v="Male"/>
    <n v="41"/>
    <n v="2"/>
    <n v="2"/>
    <x v="0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m/>
    <m/>
    <m/>
    <m/>
  </r>
  <r>
    <n v="30"/>
    <s v="No"/>
    <s v="Travel_Rarely"/>
    <n v="1240"/>
    <s v="Human Resources"/>
    <n v="9"/>
    <n v="3"/>
    <s v="Human Resources"/>
    <n v="1"/>
    <n v="184"/>
    <n v="3"/>
    <s v="Male"/>
    <n v="48"/>
    <n v="3"/>
    <n v="2"/>
    <x v="8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m/>
    <m/>
    <m/>
    <m/>
  </r>
  <r>
    <n v="32"/>
    <s v="Yes"/>
    <s v="Travel_Rarely"/>
    <n v="1033"/>
    <s v="Research &amp; Development"/>
    <n v="9"/>
    <n v="3"/>
    <s v="Medical"/>
    <n v="1"/>
    <n v="190"/>
    <n v="1"/>
    <s v="Female"/>
    <n v="41"/>
    <n v="3"/>
    <n v="1"/>
    <x v="2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m/>
    <m/>
    <m/>
    <m/>
  </r>
  <r>
    <n v="45"/>
    <s v="No"/>
    <s v="Travel_Rarely"/>
    <n v="1316"/>
    <s v="Research &amp; Development"/>
    <n v="29"/>
    <n v="3"/>
    <s v="Medical"/>
    <n v="1"/>
    <n v="192"/>
    <n v="3"/>
    <s v="Male"/>
    <n v="83"/>
    <n v="3"/>
    <n v="1"/>
    <x v="1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m/>
    <m/>
    <m/>
    <m/>
  </r>
  <r>
    <n v="38"/>
    <s v="No"/>
    <s v="Travel_Rarely"/>
    <n v="364"/>
    <s v="Research &amp; Development"/>
    <n v="3"/>
    <n v="5"/>
    <s v="Technical Degree"/>
    <n v="1"/>
    <n v="193"/>
    <n v="4"/>
    <s v="Female"/>
    <n v="32"/>
    <n v="3"/>
    <n v="2"/>
    <x v="1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m/>
    <m/>
    <m/>
    <m/>
  </r>
  <r>
    <n v="30"/>
    <s v="No"/>
    <s v="Travel_Rarely"/>
    <n v="438"/>
    <s v="Research &amp; Development"/>
    <n v="18"/>
    <n v="3"/>
    <s v="Life Sciences"/>
    <n v="1"/>
    <n v="194"/>
    <n v="1"/>
    <s v="Female"/>
    <n v="75"/>
    <n v="3"/>
    <n v="1"/>
    <x v="1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m/>
    <m/>
    <m/>
    <m/>
  </r>
  <r>
    <n v="32"/>
    <s v="No"/>
    <s v="Travel_Frequently"/>
    <n v="689"/>
    <s v="Sales"/>
    <n v="9"/>
    <n v="2"/>
    <s v="Medical"/>
    <n v="1"/>
    <n v="195"/>
    <n v="4"/>
    <s v="Male"/>
    <n v="35"/>
    <n v="1"/>
    <n v="2"/>
    <x v="0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m/>
    <m/>
    <m/>
    <m/>
  </r>
  <r>
    <n v="30"/>
    <s v="No"/>
    <s v="Travel_Rarely"/>
    <n v="201"/>
    <s v="Research &amp; Development"/>
    <n v="5"/>
    <n v="3"/>
    <s v="Technical Degree"/>
    <n v="1"/>
    <n v="197"/>
    <n v="4"/>
    <s v="Female"/>
    <n v="84"/>
    <n v="3"/>
    <n v="1"/>
    <x v="1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m/>
    <m/>
    <m/>
    <m/>
  </r>
  <r>
    <n v="30"/>
    <s v="No"/>
    <s v="Travel_Rarely"/>
    <n v="1427"/>
    <s v="Research &amp; Development"/>
    <n v="2"/>
    <n v="1"/>
    <s v="Medical"/>
    <n v="1"/>
    <n v="198"/>
    <n v="2"/>
    <s v="Male"/>
    <n v="35"/>
    <n v="2"/>
    <n v="1"/>
    <x v="2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m/>
    <m/>
    <m/>
    <m/>
  </r>
  <r>
    <n v="41"/>
    <s v="No"/>
    <s v="Travel_Frequently"/>
    <n v="857"/>
    <s v="Research &amp; Development"/>
    <n v="10"/>
    <n v="3"/>
    <s v="Life Sciences"/>
    <n v="1"/>
    <n v="199"/>
    <n v="4"/>
    <s v="Male"/>
    <n v="91"/>
    <n v="2"/>
    <n v="4"/>
    <x v="5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m/>
    <m/>
    <m/>
    <m/>
  </r>
  <r>
    <n v="41"/>
    <s v="No"/>
    <s v="Travel_Rarely"/>
    <n v="933"/>
    <s v="Research &amp; Development"/>
    <n v="9"/>
    <n v="4"/>
    <s v="Life Sciences"/>
    <n v="1"/>
    <n v="200"/>
    <n v="3"/>
    <s v="Male"/>
    <n v="94"/>
    <n v="3"/>
    <n v="1"/>
    <x v="2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m/>
    <m/>
    <m/>
    <m/>
  </r>
  <r>
    <n v="19"/>
    <s v="No"/>
    <s v="Travel_Rarely"/>
    <n v="1181"/>
    <s v="Research &amp; Development"/>
    <n v="3"/>
    <n v="1"/>
    <s v="Medical"/>
    <n v="1"/>
    <n v="201"/>
    <n v="2"/>
    <s v="Female"/>
    <n v="79"/>
    <n v="3"/>
    <n v="1"/>
    <x v="2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m/>
    <m/>
    <m/>
    <m/>
  </r>
  <r>
    <n v="40"/>
    <s v="No"/>
    <s v="Travel_Frequently"/>
    <n v="1395"/>
    <s v="Research &amp; Development"/>
    <n v="26"/>
    <n v="3"/>
    <s v="Medical"/>
    <n v="1"/>
    <n v="202"/>
    <n v="2"/>
    <s v="Female"/>
    <n v="54"/>
    <n v="3"/>
    <n v="2"/>
    <x v="1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m/>
    <m/>
    <m/>
    <m/>
  </r>
  <r>
    <n v="35"/>
    <s v="No"/>
    <s v="Travel_Rarely"/>
    <n v="662"/>
    <s v="Sales"/>
    <n v="1"/>
    <n v="5"/>
    <s v="Marketing"/>
    <n v="1"/>
    <n v="204"/>
    <n v="3"/>
    <s v="Male"/>
    <n v="94"/>
    <n v="3"/>
    <n v="3"/>
    <x v="0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m/>
    <m/>
    <m/>
    <m/>
  </r>
  <r>
    <n v="53"/>
    <s v="No"/>
    <s v="Travel_Rarely"/>
    <n v="1436"/>
    <s v="Sales"/>
    <n v="6"/>
    <n v="2"/>
    <s v="Marketing"/>
    <n v="1"/>
    <n v="205"/>
    <n v="2"/>
    <s v="Male"/>
    <n v="34"/>
    <n v="3"/>
    <n v="2"/>
    <x v="6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m/>
    <m/>
    <m/>
    <m/>
  </r>
  <r>
    <n v="45"/>
    <s v="No"/>
    <s v="Travel_Rarely"/>
    <n v="194"/>
    <s v="Research &amp; Development"/>
    <n v="9"/>
    <n v="3"/>
    <s v="Life Sciences"/>
    <n v="1"/>
    <n v="206"/>
    <n v="2"/>
    <s v="Male"/>
    <n v="60"/>
    <n v="3"/>
    <n v="2"/>
    <x v="2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m/>
    <m/>
    <m/>
    <m/>
  </r>
  <r>
    <n v="32"/>
    <s v="No"/>
    <s v="Travel_Frequently"/>
    <n v="967"/>
    <s v="Sales"/>
    <n v="8"/>
    <n v="3"/>
    <s v="Marketing"/>
    <n v="1"/>
    <n v="207"/>
    <n v="2"/>
    <s v="Female"/>
    <n v="43"/>
    <n v="3"/>
    <n v="3"/>
    <x v="0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m/>
    <m/>
    <m/>
    <m/>
  </r>
  <r>
    <n v="29"/>
    <s v="No"/>
    <s v="Non-Travel"/>
    <n v="1496"/>
    <s v="Research &amp; Development"/>
    <n v="1"/>
    <n v="1"/>
    <s v="Technical Degree"/>
    <n v="1"/>
    <n v="208"/>
    <n v="4"/>
    <s v="Male"/>
    <n v="41"/>
    <n v="3"/>
    <n v="2"/>
    <x v="3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m/>
    <m/>
    <m/>
    <m/>
  </r>
  <r>
    <n v="51"/>
    <s v="No"/>
    <s v="Travel_Rarely"/>
    <n v="1169"/>
    <s v="Research &amp; Development"/>
    <n v="7"/>
    <n v="4"/>
    <s v="Medical"/>
    <n v="1"/>
    <n v="211"/>
    <n v="2"/>
    <s v="Male"/>
    <n v="34"/>
    <n v="2"/>
    <n v="2"/>
    <x v="3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m/>
    <m/>
    <m/>
    <m/>
  </r>
  <r>
    <n v="58"/>
    <s v="No"/>
    <s v="Travel_Rarely"/>
    <n v="1145"/>
    <s v="Research &amp; Development"/>
    <n v="9"/>
    <n v="3"/>
    <s v="Medical"/>
    <n v="1"/>
    <n v="214"/>
    <n v="2"/>
    <s v="Female"/>
    <n v="75"/>
    <n v="2"/>
    <n v="1"/>
    <x v="1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m/>
    <m/>
    <m/>
    <m/>
  </r>
  <r>
    <n v="40"/>
    <s v="No"/>
    <s v="Travel_Rarely"/>
    <n v="630"/>
    <s v="Sales"/>
    <n v="4"/>
    <n v="4"/>
    <s v="Marketing"/>
    <n v="1"/>
    <n v="215"/>
    <n v="3"/>
    <s v="Male"/>
    <n v="67"/>
    <n v="2"/>
    <n v="3"/>
    <x v="0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m/>
    <m/>
    <m/>
    <m/>
  </r>
  <r>
    <n v="34"/>
    <s v="No"/>
    <s v="Travel_Frequently"/>
    <n v="303"/>
    <s v="Sales"/>
    <n v="2"/>
    <n v="4"/>
    <s v="Marketing"/>
    <n v="1"/>
    <n v="216"/>
    <n v="3"/>
    <s v="Female"/>
    <n v="75"/>
    <n v="3"/>
    <n v="1"/>
    <x v="6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m/>
    <m/>
    <m/>
    <m/>
  </r>
  <r>
    <n v="22"/>
    <s v="No"/>
    <s v="Travel_Rarely"/>
    <n v="1256"/>
    <s v="Research &amp; Development"/>
    <n v="19"/>
    <n v="1"/>
    <s v="Medical"/>
    <n v="1"/>
    <n v="217"/>
    <n v="3"/>
    <s v="Male"/>
    <n v="80"/>
    <n v="3"/>
    <n v="1"/>
    <x v="1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m/>
    <m/>
    <m/>
    <m/>
  </r>
  <r>
    <n v="27"/>
    <s v="No"/>
    <s v="Non-Travel"/>
    <n v="691"/>
    <s v="Research &amp; Development"/>
    <n v="9"/>
    <n v="3"/>
    <s v="Medical"/>
    <n v="1"/>
    <n v="218"/>
    <n v="4"/>
    <s v="Male"/>
    <n v="57"/>
    <n v="3"/>
    <n v="1"/>
    <x v="1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m/>
    <m/>
    <m/>
    <m/>
  </r>
  <r>
    <n v="28"/>
    <s v="No"/>
    <s v="Travel_Rarely"/>
    <n v="440"/>
    <s v="Research &amp; Development"/>
    <n v="21"/>
    <n v="3"/>
    <s v="Medical"/>
    <n v="1"/>
    <n v="221"/>
    <n v="3"/>
    <s v="Male"/>
    <n v="42"/>
    <n v="3"/>
    <n v="1"/>
    <x v="1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m/>
    <m/>
    <m/>
    <m/>
  </r>
  <r>
    <n v="57"/>
    <s v="No"/>
    <s v="Travel_Rarely"/>
    <n v="334"/>
    <s v="Research &amp; Development"/>
    <n v="24"/>
    <n v="2"/>
    <s v="Life Sciences"/>
    <n v="1"/>
    <n v="223"/>
    <n v="3"/>
    <s v="Male"/>
    <n v="83"/>
    <n v="4"/>
    <n v="3"/>
    <x v="4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m/>
    <m/>
    <m/>
    <m/>
  </r>
  <r>
    <n v="27"/>
    <s v="No"/>
    <s v="Non-Travel"/>
    <n v="1450"/>
    <s v="Research &amp; Development"/>
    <n v="3"/>
    <n v="3"/>
    <s v="Medical"/>
    <n v="1"/>
    <n v="224"/>
    <n v="3"/>
    <s v="Male"/>
    <n v="79"/>
    <n v="2"/>
    <n v="1"/>
    <x v="1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m/>
    <m/>
    <m/>
    <m/>
  </r>
  <r>
    <n v="50"/>
    <s v="No"/>
    <s v="Travel_Rarely"/>
    <n v="1452"/>
    <s v="Research &amp; Development"/>
    <n v="11"/>
    <n v="3"/>
    <s v="Life Sciences"/>
    <n v="1"/>
    <n v="226"/>
    <n v="3"/>
    <s v="Female"/>
    <n v="53"/>
    <n v="3"/>
    <n v="5"/>
    <x v="5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m/>
    <m/>
    <m/>
    <m/>
  </r>
  <r>
    <n v="41"/>
    <s v="No"/>
    <s v="Travel_Rarely"/>
    <n v="465"/>
    <s v="Research &amp; Development"/>
    <n v="14"/>
    <n v="3"/>
    <s v="Life Sciences"/>
    <n v="1"/>
    <n v="227"/>
    <n v="1"/>
    <s v="Male"/>
    <n v="56"/>
    <n v="3"/>
    <n v="1"/>
    <x v="1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m/>
    <m/>
    <m/>
    <m/>
  </r>
  <r>
    <n v="30"/>
    <s v="No"/>
    <s v="Travel_Rarely"/>
    <n v="1339"/>
    <s v="Sales"/>
    <n v="5"/>
    <n v="3"/>
    <s v="Life Sciences"/>
    <n v="1"/>
    <n v="228"/>
    <n v="2"/>
    <s v="Female"/>
    <n v="41"/>
    <n v="3"/>
    <n v="3"/>
    <x v="0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m/>
    <m/>
    <m/>
    <m/>
  </r>
  <r>
    <n v="38"/>
    <s v="No"/>
    <s v="Travel_Rarely"/>
    <n v="702"/>
    <s v="Sales"/>
    <n v="1"/>
    <n v="4"/>
    <s v="Life Sciences"/>
    <n v="1"/>
    <n v="230"/>
    <n v="1"/>
    <s v="Female"/>
    <n v="59"/>
    <n v="2"/>
    <n v="2"/>
    <x v="0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m/>
    <m/>
    <m/>
    <m/>
  </r>
  <r>
    <n v="32"/>
    <s v="No"/>
    <s v="Travel_Rarely"/>
    <n v="120"/>
    <s v="Research &amp; Development"/>
    <n v="6"/>
    <n v="5"/>
    <s v="Life Sciences"/>
    <n v="1"/>
    <n v="231"/>
    <n v="3"/>
    <s v="Male"/>
    <n v="43"/>
    <n v="3"/>
    <n v="1"/>
    <x v="1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m/>
    <m/>
    <m/>
    <m/>
  </r>
  <r>
    <n v="27"/>
    <s v="No"/>
    <s v="Travel_Rarely"/>
    <n v="1157"/>
    <s v="Research &amp; Development"/>
    <n v="17"/>
    <n v="3"/>
    <s v="Technical Degree"/>
    <n v="1"/>
    <n v="233"/>
    <n v="3"/>
    <s v="Male"/>
    <n v="51"/>
    <n v="3"/>
    <n v="1"/>
    <x v="1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m/>
    <m/>
    <m/>
    <m/>
  </r>
  <r>
    <n v="19"/>
    <s v="Yes"/>
    <s v="Travel_Frequently"/>
    <n v="602"/>
    <s v="Sales"/>
    <n v="1"/>
    <n v="1"/>
    <s v="Technical Degree"/>
    <n v="1"/>
    <n v="235"/>
    <n v="3"/>
    <s v="Female"/>
    <n v="100"/>
    <n v="1"/>
    <n v="1"/>
    <x v="6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m/>
    <m/>
    <m/>
    <m/>
  </r>
  <r>
    <n v="36"/>
    <s v="No"/>
    <s v="Travel_Frequently"/>
    <n v="1480"/>
    <s v="Research &amp; Development"/>
    <n v="3"/>
    <n v="2"/>
    <s v="Medical"/>
    <n v="1"/>
    <n v="238"/>
    <n v="4"/>
    <s v="Male"/>
    <n v="30"/>
    <n v="3"/>
    <n v="1"/>
    <x v="2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m/>
    <m/>
    <m/>
    <m/>
  </r>
  <r>
    <n v="30"/>
    <s v="No"/>
    <s v="Non-Travel"/>
    <n v="111"/>
    <s v="Research &amp; Development"/>
    <n v="9"/>
    <n v="3"/>
    <s v="Medical"/>
    <n v="1"/>
    <n v="239"/>
    <n v="3"/>
    <s v="Male"/>
    <n v="66"/>
    <n v="3"/>
    <n v="2"/>
    <x v="2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m/>
    <m/>
    <m/>
    <m/>
  </r>
  <r>
    <n v="45"/>
    <s v="No"/>
    <s v="Travel_Rarely"/>
    <n v="1268"/>
    <s v="Sales"/>
    <n v="4"/>
    <n v="2"/>
    <s v="Life Sciences"/>
    <n v="1"/>
    <n v="240"/>
    <n v="3"/>
    <s v="Female"/>
    <n v="30"/>
    <n v="3"/>
    <n v="2"/>
    <x v="0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m/>
    <m/>
    <m/>
    <m/>
  </r>
  <r>
    <n v="56"/>
    <s v="No"/>
    <s v="Travel_Rarely"/>
    <n v="713"/>
    <s v="Research &amp; Development"/>
    <n v="8"/>
    <n v="3"/>
    <s v="Life Sciences"/>
    <n v="1"/>
    <n v="241"/>
    <n v="3"/>
    <s v="Female"/>
    <n v="67"/>
    <n v="3"/>
    <n v="1"/>
    <x v="1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m/>
    <m/>
    <m/>
    <m/>
  </r>
  <r>
    <n v="33"/>
    <s v="No"/>
    <s v="Travel_Rarely"/>
    <n v="134"/>
    <s v="Research &amp; Development"/>
    <n v="2"/>
    <n v="3"/>
    <s v="Life Sciences"/>
    <n v="1"/>
    <n v="242"/>
    <n v="3"/>
    <s v="Male"/>
    <n v="90"/>
    <n v="3"/>
    <n v="1"/>
    <x v="1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m/>
    <m/>
    <m/>
    <m/>
  </r>
  <r>
    <n v="19"/>
    <s v="Yes"/>
    <s v="Travel_Rarely"/>
    <n v="303"/>
    <s v="Research &amp; Development"/>
    <n v="2"/>
    <n v="3"/>
    <s v="Life Sciences"/>
    <n v="1"/>
    <n v="243"/>
    <n v="2"/>
    <s v="Male"/>
    <n v="47"/>
    <n v="2"/>
    <n v="1"/>
    <x v="2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m/>
    <m/>
    <m/>
    <m/>
  </r>
  <r>
    <n v="46"/>
    <s v="No"/>
    <s v="Travel_Rarely"/>
    <n v="526"/>
    <s v="Sales"/>
    <n v="1"/>
    <n v="2"/>
    <s v="Marketing"/>
    <n v="1"/>
    <n v="244"/>
    <n v="2"/>
    <s v="Female"/>
    <n v="92"/>
    <n v="3"/>
    <n v="3"/>
    <x v="0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m/>
    <m/>
    <m/>
    <m/>
  </r>
  <r>
    <n v="38"/>
    <s v="No"/>
    <s v="Travel_Rarely"/>
    <n v="1380"/>
    <s v="Research &amp; Development"/>
    <n v="9"/>
    <n v="2"/>
    <s v="Life Sciences"/>
    <n v="1"/>
    <n v="245"/>
    <n v="3"/>
    <s v="Female"/>
    <n v="75"/>
    <n v="3"/>
    <n v="1"/>
    <x v="2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m/>
    <m/>
    <m/>
    <m/>
  </r>
  <r>
    <n v="31"/>
    <s v="No"/>
    <s v="Travel_Rarely"/>
    <n v="140"/>
    <s v="Research &amp; Development"/>
    <n v="12"/>
    <n v="1"/>
    <s v="Medical"/>
    <n v="1"/>
    <n v="246"/>
    <n v="3"/>
    <s v="Female"/>
    <n v="95"/>
    <n v="3"/>
    <n v="1"/>
    <x v="1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m/>
    <m/>
    <m/>
    <m/>
  </r>
  <r>
    <n v="34"/>
    <s v="No"/>
    <s v="Travel_Rarely"/>
    <n v="629"/>
    <s v="Research &amp; Development"/>
    <n v="27"/>
    <n v="2"/>
    <s v="Medical"/>
    <n v="1"/>
    <n v="247"/>
    <n v="4"/>
    <s v="Female"/>
    <n v="95"/>
    <n v="3"/>
    <n v="1"/>
    <x v="1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m/>
    <m/>
    <m/>
    <m/>
  </r>
  <r>
    <n v="41"/>
    <s v="Yes"/>
    <s v="Travel_Rarely"/>
    <n v="1356"/>
    <s v="Sales"/>
    <n v="20"/>
    <n v="2"/>
    <s v="Marketing"/>
    <n v="1"/>
    <n v="248"/>
    <n v="2"/>
    <s v="Female"/>
    <n v="70"/>
    <n v="3"/>
    <n v="1"/>
    <x v="6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m/>
    <m/>
    <m/>
    <m/>
  </r>
  <r>
    <n v="50"/>
    <s v="No"/>
    <s v="Travel_Rarely"/>
    <n v="328"/>
    <s v="Research &amp; Development"/>
    <n v="1"/>
    <n v="3"/>
    <s v="Medical"/>
    <n v="1"/>
    <n v="249"/>
    <n v="3"/>
    <s v="Male"/>
    <n v="86"/>
    <n v="2"/>
    <n v="1"/>
    <x v="2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m/>
    <m/>
    <m/>
    <m/>
  </r>
  <r>
    <n v="53"/>
    <s v="No"/>
    <s v="Travel_Rarely"/>
    <n v="1084"/>
    <s v="Research &amp; Development"/>
    <n v="13"/>
    <n v="2"/>
    <s v="Medical"/>
    <n v="1"/>
    <n v="250"/>
    <n v="4"/>
    <s v="Female"/>
    <n v="57"/>
    <n v="4"/>
    <n v="2"/>
    <x v="3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m/>
    <m/>
    <m/>
    <m/>
  </r>
  <r>
    <n v="33"/>
    <s v="No"/>
    <s v="Travel_Rarely"/>
    <n v="931"/>
    <s v="Research &amp; Development"/>
    <n v="14"/>
    <n v="3"/>
    <s v="Medical"/>
    <n v="1"/>
    <n v="252"/>
    <n v="4"/>
    <s v="Female"/>
    <n v="72"/>
    <n v="3"/>
    <n v="1"/>
    <x v="1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m/>
    <m/>
    <m/>
    <m/>
  </r>
  <r>
    <n v="40"/>
    <s v="No"/>
    <s v="Travel_Rarely"/>
    <n v="989"/>
    <s v="Research &amp; Development"/>
    <n v="4"/>
    <n v="1"/>
    <s v="Medical"/>
    <n v="1"/>
    <n v="253"/>
    <n v="4"/>
    <s v="Female"/>
    <n v="46"/>
    <n v="3"/>
    <n v="5"/>
    <x v="5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m/>
    <m/>
    <m/>
    <m/>
  </r>
  <r>
    <n v="55"/>
    <s v="No"/>
    <s v="Travel_Rarely"/>
    <n v="692"/>
    <s v="Research &amp; Development"/>
    <n v="14"/>
    <n v="4"/>
    <s v="Medical"/>
    <n v="1"/>
    <n v="254"/>
    <n v="3"/>
    <s v="Male"/>
    <n v="61"/>
    <n v="4"/>
    <n v="5"/>
    <x v="7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m/>
    <m/>
    <m/>
    <m/>
  </r>
  <r>
    <n v="34"/>
    <s v="No"/>
    <s v="Travel_Frequently"/>
    <n v="1069"/>
    <s v="Research &amp; Development"/>
    <n v="2"/>
    <n v="1"/>
    <s v="Life Sciences"/>
    <n v="1"/>
    <n v="256"/>
    <n v="4"/>
    <s v="Male"/>
    <n v="45"/>
    <n v="2"/>
    <n v="2"/>
    <x v="3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m/>
    <m/>
    <m/>
    <m/>
  </r>
  <r>
    <n v="51"/>
    <s v="No"/>
    <s v="Travel_Rarely"/>
    <n v="313"/>
    <s v="Research &amp; Development"/>
    <n v="3"/>
    <n v="3"/>
    <s v="Medical"/>
    <n v="1"/>
    <n v="258"/>
    <n v="4"/>
    <s v="Female"/>
    <n v="98"/>
    <n v="3"/>
    <n v="4"/>
    <x v="4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m/>
    <m/>
    <m/>
    <m/>
  </r>
  <r>
    <n v="52"/>
    <s v="No"/>
    <s v="Travel_Rarely"/>
    <n v="699"/>
    <s v="Research &amp; Development"/>
    <n v="1"/>
    <n v="4"/>
    <s v="Life Sciences"/>
    <n v="1"/>
    <n v="259"/>
    <n v="3"/>
    <s v="Male"/>
    <n v="65"/>
    <n v="2"/>
    <n v="5"/>
    <x v="5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m/>
    <m/>
    <m/>
    <m/>
  </r>
  <r>
    <n v="27"/>
    <s v="No"/>
    <s v="Travel_Rarely"/>
    <n v="894"/>
    <s v="Research &amp; Development"/>
    <n v="9"/>
    <n v="3"/>
    <s v="Medical"/>
    <n v="1"/>
    <n v="260"/>
    <n v="4"/>
    <s v="Female"/>
    <n v="99"/>
    <n v="3"/>
    <n v="1"/>
    <x v="1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m/>
    <m/>
    <m/>
    <m/>
  </r>
  <r>
    <n v="35"/>
    <s v="Yes"/>
    <s v="Travel_Rarely"/>
    <n v="556"/>
    <s v="Research &amp; Development"/>
    <n v="23"/>
    <n v="2"/>
    <s v="Life Sciences"/>
    <n v="1"/>
    <n v="261"/>
    <n v="2"/>
    <s v="Male"/>
    <n v="50"/>
    <n v="2"/>
    <n v="2"/>
    <x v="3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m/>
    <m/>
    <m/>
    <m/>
  </r>
  <r>
    <n v="43"/>
    <s v="No"/>
    <s v="Non-Travel"/>
    <n v="1344"/>
    <s v="Research &amp; Development"/>
    <n v="7"/>
    <n v="3"/>
    <s v="Medical"/>
    <n v="1"/>
    <n v="262"/>
    <n v="4"/>
    <s v="Male"/>
    <n v="37"/>
    <n v="4"/>
    <n v="1"/>
    <x v="1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m/>
    <m/>
    <m/>
    <m/>
  </r>
  <r>
    <n v="45"/>
    <s v="No"/>
    <s v="Non-Travel"/>
    <n v="1195"/>
    <s v="Research &amp; Development"/>
    <n v="2"/>
    <n v="2"/>
    <s v="Medical"/>
    <n v="1"/>
    <n v="264"/>
    <n v="1"/>
    <s v="Male"/>
    <n v="65"/>
    <n v="2"/>
    <n v="4"/>
    <x v="5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m/>
    <m/>
    <m/>
    <m/>
  </r>
  <r>
    <n v="37"/>
    <s v="No"/>
    <s v="Travel_Rarely"/>
    <n v="290"/>
    <s v="Research &amp; Development"/>
    <n v="21"/>
    <n v="3"/>
    <s v="Life Sciences"/>
    <n v="1"/>
    <n v="267"/>
    <n v="2"/>
    <s v="Male"/>
    <n v="65"/>
    <n v="4"/>
    <n v="1"/>
    <x v="1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m/>
    <m/>
    <m/>
    <m/>
  </r>
  <r>
    <n v="35"/>
    <s v="No"/>
    <s v="Travel_Frequently"/>
    <n v="138"/>
    <s v="Research &amp; Development"/>
    <n v="2"/>
    <n v="3"/>
    <s v="Medical"/>
    <n v="1"/>
    <n v="269"/>
    <n v="2"/>
    <s v="Female"/>
    <n v="37"/>
    <n v="3"/>
    <n v="2"/>
    <x v="2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m/>
    <m/>
    <m/>
    <m/>
  </r>
  <r>
    <n v="42"/>
    <s v="No"/>
    <s v="Non-Travel"/>
    <n v="926"/>
    <s v="Research &amp; Development"/>
    <n v="21"/>
    <n v="2"/>
    <s v="Medical"/>
    <n v="1"/>
    <n v="270"/>
    <n v="3"/>
    <s v="Female"/>
    <n v="36"/>
    <n v="3"/>
    <n v="2"/>
    <x v="3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m/>
    <m/>
    <m/>
    <m/>
  </r>
  <r>
    <n v="38"/>
    <s v="No"/>
    <s v="Travel_Rarely"/>
    <n v="1261"/>
    <s v="Research &amp; Development"/>
    <n v="2"/>
    <n v="4"/>
    <s v="Life Sciences"/>
    <n v="1"/>
    <n v="271"/>
    <n v="4"/>
    <s v="Male"/>
    <n v="88"/>
    <n v="3"/>
    <n v="2"/>
    <x v="3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m/>
    <m/>
    <m/>
    <m/>
  </r>
  <r>
    <n v="38"/>
    <s v="No"/>
    <s v="Travel_Rarely"/>
    <n v="1084"/>
    <s v="Research &amp; Development"/>
    <n v="29"/>
    <n v="3"/>
    <s v="Technical Degree"/>
    <n v="1"/>
    <n v="273"/>
    <n v="4"/>
    <s v="Male"/>
    <n v="54"/>
    <n v="3"/>
    <n v="2"/>
    <x v="3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m/>
    <m/>
    <m/>
    <m/>
  </r>
  <r>
    <n v="27"/>
    <s v="No"/>
    <s v="Travel_Frequently"/>
    <n v="472"/>
    <s v="Research &amp; Development"/>
    <n v="1"/>
    <n v="1"/>
    <s v="Technical Degree"/>
    <n v="1"/>
    <n v="274"/>
    <n v="3"/>
    <s v="Male"/>
    <n v="60"/>
    <n v="2"/>
    <n v="2"/>
    <x v="3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m/>
    <m/>
    <m/>
    <m/>
  </r>
  <r>
    <n v="49"/>
    <s v="No"/>
    <s v="Non-Travel"/>
    <n v="1002"/>
    <s v="Research &amp; Development"/>
    <n v="18"/>
    <n v="4"/>
    <s v="Life Sciences"/>
    <n v="1"/>
    <n v="275"/>
    <n v="4"/>
    <s v="Male"/>
    <n v="92"/>
    <n v="3"/>
    <n v="2"/>
    <x v="3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m/>
    <m/>
    <m/>
    <m/>
  </r>
  <r>
    <n v="34"/>
    <s v="No"/>
    <s v="Travel_Frequently"/>
    <n v="878"/>
    <s v="Research &amp; Development"/>
    <n v="10"/>
    <n v="4"/>
    <s v="Medical"/>
    <n v="1"/>
    <n v="277"/>
    <n v="4"/>
    <s v="Male"/>
    <n v="43"/>
    <n v="3"/>
    <n v="1"/>
    <x v="1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m/>
    <m/>
    <m/>
    <m/>
  </r>
  <r>
    <n v="40"/>
    <s v="No"/>
    <s v="Travel_Rarely"/>
    <n v="905"/>
    <s v="Research &amp; Development"/>
    <n v="19"/>
    <n v="2"/>
    <s v="Medical"/>
    <n v="1"/>
    <n v="281"/>
    <n v="3"/>
    <s v="Male"/>
    <n v="99"/>
    <n v="3"/>
    <n v="2"/>
    <x v="2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m/>
    <m/>
    <m/>
    <m/>
  </r>
  <r>
    <n v="38"/>
    <s v="Yes"/>
    <s v="Travel_Rarely"/>
    <n v="1180"/>
    <s v="Research &amp; Development"/>
    <n v="29"/>
    <n v="1"/>
    <s v="Medical"/>
    <n v="1"/>
    <n v="282"/>
    <n v="2"/>
    <s v="Male"/>
    <n v="70"/>
    <n v="3"/>
    <n v="2"/>
    <x v="4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m/>
    <m/>
    <m/>
    <m/>
  </r>
  <r>
    <n v="29"/>
    <s v="Yes"/>
    <s v="Travel_Rarely"/>
    <n v="121"/>
    <s v="Sales"/>
    <n v="27"/>
    <n v="3"/>
    <s v="Marketing"/>
    <n v="1"/>
    <n v="283"/>
    <n v="2"/>
    <s v="Female"/>
    <n v="35"/>
    <n v="3"/>
    <n v="3"/>
    <x v="0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m/>
    <m/>
    <m/>
    <m/>
  </r>
  <r>
    <n v="22"/>
    <s v="No"/>
    <s v="Travel_Rarely"/>
    <n v="1136"/>
    <s v="Research &amp; Development"/>
    <n v="5"/>
    <n v="3"/>
    <s v="Life Sciences"/>
    <n v="1"/>
    <n v="284"/>
    <n v="4"/>
    <s v="Male"/>
    <n v="60"/>
    <n v="4"/>
    <n v="1"/>
    <x v="1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m/>
    <m/>
    <m/>
    <m/>
  </r>
  <r>
    <n v="36"/>
    <s v="No"/>
    <s v="Travel_Frequently"/>
    <n v="635"/>
    <s v="Research &amp; Development"/>
    <n v="18"/>
    <n v="1"/>
    <s v="Medical"/>
    <n v="1"/>
    <n v="286"/>
    <n v="2"/>
    <s v="Female"/>
    <n v="73"/>
    <n v="3"/>
    <n v="1"/>
    <x v="2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m/>
    <m/>
    <m/>
    <m/>
  </r>
  <r>
    <n v="40"/>
    <s v="No"/>
    <s v="Non-Travel"/>
    <n v="1151"/>
    <s v="Research &amp; Development"/>
    <n v="9"/>
    <n v="5"/>
    <s v="Life Sciences"/>
    <n v="1"/>
    <n v="287"/>
    <n v="4"/>
    <s v="Male"/>
    <n v="63"/>
    <n v="2"/>
    <n v="2"/>
    <x v="4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m/>
    <m/>
    <m/>
    <m/>
  </r>
  <r>
    <n v="46"/>
    <s v="No"/>
    <s v="Travel_Rarely"/>
    <n v="644"/>
    <s v="Research &amp; Development"/>
    <n v="1"/>
    <n v="4"/>
    <s v="Medical"/>
    <n v="1"/>
    <n v="288"/>
    <n v="4"/>
    <s v="Male"/>
    <n v="97"/>
    <n v="3"/>
    <n v="3"/>
    <x v="4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m/>
    <m/>
    <m/>
    <m/>
  </r>
  <r>
    <n v="32"/>
    <s v="Yes"/>
    <s v="Travel_Rarely"/>
    <n v="1045"/>
    <s v="Sales"/>
    <n v="4"/>
    <n v="4"/>
    <s v="Medical"/>
    <n v="1"/>
    <n v="291"/>
    <n v="4"/>
    <s v="Male"/>
    <n v="32"/>
    <n v="1"/>
    <n v="3"/>
    <x v="0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m/>
    <m/>
    <m/>
    <m/>
  </r>
  <r>
    <n v="30"/>
    <s v="No"/>
    <s v="Non-Travel"/>
    <n v="829"/>
    <s v="Research &amp; Development"/>
    <n v="1"/>
    <n v="1"/>
    <s v="Life Sciences"/>
    <n v="1"/>
    <n v="292"/>
    <n v="3"/>
    <s v="Male"/>
    <n v="88"/>
    <n v="2"/>
    <n v="3"/>
    <x v="3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m/>
    <m/>
    <m/>
    <m/>
  </r>
  <r>
    <n v="27"/>
    <s v="No"/>
    <s v="Travel_Frequently"/>
    <n v="1242"/>
    <s v="Sales"/>
    <n v="20"/>
    <n v="3"/>
    <s v="Life Sciences"/>
    <n v="1"/>
    <n v="293"/>
    <n v="4"/>
    <s v="Female"/>
    <n v="90"/>
    <n v="3"/>
    <n v="2"/>
    <x v="0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m/>
    <m/>
    <m/>
    <m/>
  </r>
  <r>
    <n v="51"/>
    <s v="No"/>
    <s v="Travel_Rarely"/>
    <n v="1469"/>
    <s v="Research &amp; Development"/>
    <n v="8"/>
    <n v="4"/>
    <s v="Life Sciences"/>
    <n v="1"/>
    <n v="296"/>
    <n v="2"/>
    <s v="Male"/>
    <n v="81"/>
    <n v="2"/>
    <n v="3"/>
    <x v="7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m/>
    <m/>
    <m/>
    <m/>
  </r>
  <r>
    <n v="30"/>
    <s v="Yes"/>
    <s v="Travel_Rarely"/>
    <n v="1005"/>
    <s v="Research &amp; Development"/>
    <n v="3"/>
    <n v="3"/>
    <s v="Technical Degree"/>
    <n v="1"/>
    <n v="297"/>
    <n v="4"/>
    <s v="Female"/>
    <n v="88"/>
    <n v="3"/>
    <n v="1"/>
    <x v="1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m/>
    <m/>
    <m/>
    <m/>
  </r>
  <r>
    <n v="41"/>
    <s v="No"/>
    <s v="Travel_Rarely"/>
    <n v="896"/>
    <s v="Sales"/>
    <n v="6"/>
    <n v="3"/>
    <s v="Life Sciences"/>
    <n v="1"/>
    <n v="298"/>
    <n v="4"/>
    <s v="Female"/>
    <n v="75"/>
    <n v="3"/>
    <n v="3"/>
    <x v="5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m/>
    <m/>
    <m/>
    <m/>
  </r>
  <r>
    <n v="30"/>
    <s v="Yes"/>
    <s v="Travel_Frequently"/>
    <n v="334"/>
    <s v="Sales"/>
    <n v="26"/>
    <n v="4"/>
    <s v="Marketing"/>
    <n v="1"/>
    <n v="299"/>
    <n v="3"/>
    <s v="Female"/>
    <n v="52"/>
    <n v="2"/>
    <n v="2"/>
    <x v="0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m/>
    <m/>
    <m/>
    <m/>
  </r>
  <r>
    <n v="29"/>
    <s v="Yes"/>
    <s v="Travel_Rarely"/>
    <n v="992"/>
    <s v="Research &amp; Development"/>
    <n v="1"/>
    <n v="3"/>
    <s v="Technical Degree"/>
    <n v="1"/>
    <n v="300"/>
    <n v="3"/>
    <s v="Male"/>
    <n v="85"/>
    <n v="3"/>
    <n v="1"/>
    <x v="1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m/>
    <m/>
    <m/>
    <m/>
  </r>
  <r>
    <n v="45"/>
    <s v="No"/>
    <s v="Non-Travel"/>
    <n v="1052"/>
    <s v="Sales"/>
    <n v="6"/>
    <n v="3"/>
    <s v="Medical"/>
    <n v="1"/>
    <n v="302"/>
    <n v="4"/>
    <s v="Female"/>
    <n v="57"/>
    <n v="2"/>
    <n v="3"/>
    <x v="0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m/>
    <m/>
    <m/>
    <m/>
  </r>
  <r>
    <n v="54"/>
    <s v="No"/>
    <s v="Travel_Rarely"/>
    <n v="1147"/>
    <s v="Sales"/>
    <n v="3"/>
    <n v="3"/>
    <s v="Marketing"/>
    <n v="1"/>
    <n v="303"/>
    <n v="4"/>
    <s v="Female"/>
    <n v="52"/>
    <n v="3"/>
    <n v="2"/>
    <x v="0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m/>
    <m/>
    <m/>
    <m/>
  </r>
  <r>
    <n v="36"/>
    <s v="No"/>
    <s v="Travel_Rarely"/>
    <n v="1396"/>
    <s v="Research &amp; Development"/>
    <n v="5"/>
    <n v="2"/>
    <s v="Life Sciences"/>
    <n v="1"/>
    <n v="304"/>
    <n v="4"/>
    <s v="Male"/>
    <n v="62"/>
    <n v="3"/>
    <n v="2"/>
    <x v="2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m/>
    <m/>
    <m/>
    <m/>
  </r>
  <r>
    <n v="33"/>
    <s v="No"/>
    <s v="Travel_Rarely"/>
    <n v="147"/>
    <s v="Research &amp; Development"/>
    <n v="4"/>
    <n v="4"/>
    <s v="Medical"/>
    <n v="1"/>
    <n v="305"/>
    <n v="3"/>
    <s v="Female"/>
    <n v="47"/>
    <n v="2"/>
    <n v="1"/>
    <x v="1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m/>
    <m/>
    <m/>
    <m/>
  </r>
  <r>
    <n v="37"/>
    <s v="No"/>
    <s v="Travel_Frequently"/>
    <n v="663"/>
    <s v="Research &amp; Development"/>
    <n v="11"/>
    <n v="3"/>
    <s v="Other"/>
    <n v="1"/>
    <n v="306"/>
    <n v="2"/>
    <s v="Male"/>
    <n v="47"/>
    <n v="3"/>
    <n v="3"/>
    <x v="7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m/>
    <m/>
    <m/>
    <m/>
  </r>
  <r>
    <n v="38"/>
    <s v="No"/>
    <s v="Travel_Rarely"/>
    <n v="119"/>
    <s v="Sales"/>
    <n v="3"/>
    <n v="3"/>
    <s v="Life Sciences"/>
    <n v="1"/>
    <n v="307"/>
    <n v="1"/>
    <s v="Male"/>
    <n v="76"/>
    <n v="3"/>
    <n v="3"/>
    <x v="0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m/>
    <m/>
    <m/>
    <m/>
  </r>
  <r>
    <n v="31"/>
    <s v="No"/>
    <s v="Non-Travel"/>
    <n v="979"/>
    <s v="Research &amp; Development"/>
    <n v="1"/>
    <n v="4"/>
    <s v="Medical"/>
    <n v="1"/>
    <n v="308"/>
    <n v="3"/>
    <s v="Male"/>
    <n v="90"/>
    <n v="1"/>
    <n v="2"/>
    <x v="3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m/>
    <m/>
    <m/>
    <m/>
  </r>
  <r>
    <n v="59"/>
    <s v="No"/>
    <s v="Travel_Rarely"/>
    <n v="142"/>
    <s v="Research &amp; Development"/>
    <n v="3"/>
    <n v="3"/>
    <s v="Life Sciences"/>
    <n v="1"/>
    <n v="309"/>
    <n v="3"/>
    <s v="Male"/>
    <n v="70"/>
    <n v="2"/>
    <n v="1"/>
    <x v="1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m/>
    <m/>
    <m/>
    <m/>
  </r>
  <r>
    <n v="37"/>
    <s v="No"/>
    <s v="Travel_Frequently"/>
    <n v="319"/>
    <s v="Sales"/>
    <n v="4"/>
    <n v="4"/>
    <s v="Marketing"/>
    <n v="1"/>
    <n v="311"/>
    <n v="1"/>
    <s v="Male"/>
    <n v="41"/>
    <n v="3"/>
    <n v="1"/>
    <x v="6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m/>
    <m/>
    <m/>
    <m/>
  </r>
  <r>
    <n v="29"/>
    <s v="No"/>
    <s v="Travel_Frequently"/>
    <n v="1413"/>
    <s v="Sales"/>
    <n v="1"/>
    <n v="1"/>
    <s v="Medical"/>
    <n v="1"/>
    <n v="312"/>
    <n v="2"/>
    <s v="Female"/>
    <n v="42"/>
    <n v="3"/>
    <n v="3"/>
    <x v="0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m/>
    <m/>
    <m/>
    <m/>
  </r>
  <r>
    <n v="35"/>
    <s v="No"/>
    <s v="Travel_Frequently"/>
    <n v="944"/>
    <s v="Sales"/>
    <n v="1"/>
    <n v="3"/>
    <s v="Marketing"/>
    <n v="1"/>
    <n v="314"/>
    <n v="3"/>
    <s v="Female"/>
    <n v="92"/>
    <n v="3"/>
    <n v="3"/>
    <x v="0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m/>
    <m/>
    <m/>
    <m/>
  </r>
  <r>
    <n v="29"/>
    <s v="Yes"/>
    <s v="Travel_Rarely"/>
    <n v="896"/>
    <s v="Research &amp; Development"/>
    <n v="18"/>
    <n v="1"/>
    <s v="Medical"/>
    <n v="1"/>
    <n v="315"/>
    <n v="3"/>
    <s v="Male"/>
    <n v="86"/>
    <n v="2"/>
    <n v="1"/>
    <x v="1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m/>
    <m/>
    <m/>
    <m/>
  </r>
  <r>
    <n v="52"/>
    <s v="No"/>
    <s v="Travel_Rarely"/>
    <n v="1323"/>
    <s v="Research &amp; Development"/>
    <n v="2"/>
    <n v="3"/>
    <s v="Life Sciences"/>
    <n v="1"/>
    <n v="316"/>
    <n v="3"/>
    <s v="Female"/>
    <n v="89"/>
    <n v="2"/>
    <n v="1"/>
    <x v="2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m/>
    <m/>
    <m/>
    <m/>
  </r>
  <r>
    <n v="42"/>
    <s v="No"/>
    <s v="Travel_Rarely"/>
    <n v="532"/>
    <s v="Research &amp; Development"/>
    <n v="4"/>
    <n v="2"/>
    <s v="Technical Degree"/>
    <n v="1"/>
    <n v="319"/>
    <n v="3"/>
    <s v="Male"/>
    <n v="58"/>
    <n v="3"/>
    <n v="5"/>
    <x v="5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m/>
    <m/>
    <m/>
    <m/>
  </r>
  <r>
    <n v="59"/>
    <s v="No"/>
    <s v="Travel_Rarely"/>
    <n v="818"/>
    <s v="Human Resources"/>
    <n v="6"/>
    <n v="2"/>
    <s v="Medical"/>
    <n v="1"/>
    <n v="321"/>
    <n v="2"/>
    <s v="Male"/>
    <n v="52"/>
    <n v="3"/>
    <n v="1"/>
    <x v="8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m/>
    <m/>
    <m/>
    <m/>
  </r>
  <r>
    <n v="50"/>
    <s v="No"/>
    <s v="Travel_Rarely"/>
    <n v="854"/>
    <s v="Sales"/>
    <n v="1"/>
    <n v="4"/>
    <s v="Medical"/>
    <n v="1"/>
    <n v="323"/>
    <n v="4"/>
    <s v="Female"/>
    <n v="68"/>
    <n v="3"/>
    <n v="5"/>
    <x v="5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m/>
    <m/>
    <m/>
    <m/>
  </r>
  <r>
    <n v="33"/>
    <s v="Yes"/>
    <s v="Travel_Rarely"/>
    <n v="813"/>
    <s v="Research &amp; Development"/>
    <n v="14"/>
    <n v="3"/>
    <s v="Medical"/>
    <n v="1"/>
    <n v="325"/>
    <n v="3"/>
    <s v="Male"/>
    <n v="58"/>
    <n v="3"/>
    <n v="1"/>
    <x v="2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m/>
    <m/>
    <m/>
    <m/>
  </r>
  <r>
    <n v="43"/>
    <s v="No"/>
    <s v="Travel_Rarely"/>
    <n v="1034"/>
    <s v="Sales"/>
    <n v="16"/>
    <n v="3"/>
    <s v="Marketing"/>
    <n v="1"/>
    <n v="327"/>
    <n v="4"/>
    <s v="Female"/>
    <n v="80"/>
    <n v="3"/>
    <n v="4"/>
    <x v="5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m/>
    <m/>
    <m/>
    <m/>
  </r>
  <r>
    <n v="33"/>
    <s v="Yes"/>
    <s v="Travel_Rarely"/>
    <n v="465"/>
    <s v="Research &amp; Development"/>
    <n v="2"/>
    <n v="2"/>
    <s v="Life Sciences"/>
    <n v="1"/>
    <n v="328"/>
    <n v="1"/>
    <s v="Female"/>
    <n v="39"/>
    <n v="3"/>
    <n v="1"/>
    <x v="2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m/>
    <m/>
    <m/>
    <m/>
  </r>
  <r>
    <n v="52"/>
    <s v="No"/>
    <s v="Non-Travel"/>
    <n v="771"/>
    <s v="Sales"/>
    <n v="2"/>
    <n v="4"/>
    <s v="Life Sciences"/>
    <n v="1"/>
    <n v="329"/>
    <n v="1"/>
    <s v="Male"/>
    <n v="79"/>
    <n v="2"/>
    <n v="5"/>
    <x v="5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m/>
    <m/>
    <m/>
    <m/>
  </r>
  <r>
    <n v="32"/>
    <s v="No"/>
    <s v="Travel_Rarely"/>
    <n v="1401"/>
    <s v="Sales"/>
    <n v="4"/>
    <n v="2"/>
    <s v="Life Sciences"/>
    <n v="1"/>
    <n v="330"/>
    <n v="3"/>
    <s v="Female"/>
    <n v="56"/>
    <n v="3"/>
    <n v="1"/>
    <x v="6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m/>
    <m/>
    <m/>
    <m/>
  </r>
  <r>
    <n v="32"/>
    <s v="Yes"/>
    <s v="Travel_Rarely"/>
    <n v="515"/>
    <s v="Research &amp; Development"/>
    <n v="1"/>
    <n v="3"/>
    <s v="Life Sciences"/>
    <n v="1"/>
    <n v="331"/>
    <n v="4"/>
    <s v="Male"/>
    <n v="62"/>
    <n v="2"/>
    <n v="1"/>
    <x v="2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m/>
    <m/>
    <m/>
    <m/>
  </r>
  <r>
    <n v="39"/>
    <s v="No"/>
    <s v="Travel_Rarely"/>
    <n v="1431"/>
    <s v="Research &amp; Development"/>
    <n v="1"/>
    <n v="4"/>
    <s v="Medical"/>
    <n v="1"/>
    <n v="332"/>
    <n v="3"/>
    <s v="Female"/>
    <n v="96"/>
    <n v="3"/>
    <n v="1"/>
    <x v="2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m/>
    <m/>
    <m/>
    <m/>
  </r>
  <r>
    <n v="32"/>
    <s v="No"/>
    <s v="Non-Travel"/>
    <n v="976"/>
    <s v="Sales"/>
    <n v="26"/>
    <n v="4"/>
    <s v="Marketing"/>
    <n v="1"/>
    <n v="333"/>
    <n v="3"/>
    <s v="Male"/>
    <n v="100"/>
    <n v="3"/>
    <n v="2"/>
    <x v="0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m/>
    <m/>
    <m/>
    <m/>
  </r>
  <r>
    <n v="41"/>
    <s v="No"/>
    <s v="Travel_Rarely"/>
    <n v="1411"/>
    <s v="Research &amp; Development"/>
    <n v="19"/>
    <n v="2"/>
    <s v="Life Sciences"/>
    <n v="1"/>
    <n v="334"/>
    <n v="3"/>
    <s v="Male"/>
    <n v="36"/>
    <n v="3"/>
    <n v="2"/>
    <x v="1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m/>
    <m/>
    <m/>
    <m/>
  </r>
  <r>
    <n v="40"/>
    <s v="No"/>
    <s v="Travel_Rarely"/>
    <n v="1300"/>
    <s v="Research &amp; Development"/>
    <n v="24"/>
    <n v="2"/>
    <s v="Technical Degree"/>
    <n v="1"/>
    <n v="335"/>
    <n v="1"/>
    <s v="Male"/>
    <n v="62"/>
    <n v="3"/>
    <n v="2"/>
    <x v="1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m/>
    <m/>
    <m/>
    <m/>
  </r>
  <r>
    <n v="45"/>
    <s v="No"/>
    <s v="Travel_Rarely"/>
    <n v="252"/>
    <s v="Research &amp; Development"/>
    <n v="1"/>
    <n v="3"/>
    <s v="Other"/>
    <n v="1"/>
    <n v="336"/>
    <n v="3"/>
    <s v="Male"/>
    <n v="70"/>
    <n v="4"/>
    <n v="5"/>
    <x v="5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m/>
    <m/>
    <m/>
    <m/>
  </r>
  <r>
    <n v="31"/>
    <s v="No"/>
    <s v="Travel_Frequently"/>
    <n v="1327"/>
    <s v="Research &amp; Development"/>
    <n v="3"/>
    <n v="4"/>
    <s v="Medical"/>
    <n v="1"/>
    <n v="337"/>
    <n v="2"/>
    <s v="Male"/>
    <n v="73"/>
    <n v="3"/>
    <n v="3"/>
    <x v="7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m/>
    <m/>
    <m/>
    <m/>
  </r>
  <r>
    <n v="33"/>
    <s v="No"/>
    <s v="Travel_Rarely"/>
    <n v="832"/>
    <s v="Research &amp; Development"/>
    <n v="5"/>
    <n v="4"/>
    <s v="Life Sciences"/>
    <n v="1"/>
    <n v="338"/>
    <n v="3"/>
    <s v="Female"/>
    <n v="63"/>
    <n v="2"/>
    <n v="1"/>
    <x v="1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m/>
    <m/>
    <m/>
    <m/>
  </r>
  <r>
    <n v="34"/>
    <s v="No"/>
    <s v="Travel_Rarely"/>
    <n v="470"/>
    <s v="Research &amp; Development"/>
    <n v="2"/>
    <n v="4"/>
    <s v="Life Sciences"/>
    <n v="1"/>
    <n v="339"/>
    <n v="4"/>
    <s v="Male"/>
    <n v="84"/>
    <n v="2"/>
    <n v="2"/>
    <x v="3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m/>
    <m/>
    <m/>
    <m/>
  </r>
  <r>
    <n v="37"/>
    <s v="No"/>
    <s v="Travel_Rarely"/>
    <n v="1017"/>
    <s v="Research &amp; Development"/>
    <n v="1"/>
    <n v="2"/>
    <s v="Medical"/>
    <n v="1"/>
    <n v="340"/>
    <n v="3"/>
    <s v="Female"/>
    <n v="83"/>
    <n v="2"/>
    <n v="1"/>
    <x v="1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m/>
    <m/>
    <m/>
    <m/>
  </r>
  <r>
    <n v="45"/>
    <s v="No"/>
    <s v="Travel_Frequently"/>
    <n v="1199"/>
    <s v="Research &amp; Development"/>
    <n v="7"/>
    <n v="4"/>
    <s v="Life Sciences"/>
    <n v="1"/>
    <n v="341"/>
    <n v="1"/>
    <s v="Male"/>
    <n v="77"/>
    <n v="4"/>
    <n v="2"/>
    <x v="3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m/>
    <m/>
    <m/>
    <m/>
  </r>
  <r>
    <n v="37"/>
    <s v="Yes"/>
    <s v="Travel_Frequently"/>
    <n v="504"/>
    <s v="Research &amp; Development"/>
    <n v="10"/>
    <n v="3"/>
    <s v="Medical"/>
    <n v="1"/>
    <n v="342"/>
    <n v="1"/>
    <s v="Male"/>
    <n v="61"/>
    <n v="3"/>
    <n v="3"/>
    <x v="3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m/>
    <m/>
    <m/>
    <m/>
  </r>
  <r>
    <n v="39"/>
    <s v="No"/>
    <s v="Travel_Frequently"/>
    <n v="505"/>
    <s v="Research &amp; Development"/>
    <n v="2"/>
    <n v="4"/>
    <s v="Technical Degree"/>
    <n v="1"/>
    <n v="343"/>
    <n v="3"/>
    <s v="Female"/>
    <n v="64"/>
    <n v="3"/>
    <n v="3"/>
    <x v="4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m/>
    <m/>
    <m/>
    <m/>
  </r>
  <r>
    <n v="29"/>
    <s v="No"/>
    <s v="Travel_Rarely"/>
    <n v="665"/>
    <s v="Research &amp; Development"/>
    <n v="15"/>
    <n v="3"/>
    <s v="Life Sciences"/>
    <n v="1"/>
    <n v="346"/>
    <n v="3"/>
    <s v="Male"/>
    <n v="60"/>
    <n v="3"/>
    <n v="1"/>
    <x v="1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m/>
    <m/>
    <m/>
    <m/>
  </r>
  <r>
    <n v="42"/>
    <s v="No"/>
    <s v="Travel_Rarely"/>
    <n v="916"/>
    <s v="Research &amp; Development"/>
    <n v="17"/>
    <n v="2"/>
    <s v="Life Sciences"/>
    <n v="1"/>
    <n v="347"/>
    <n v="4"/>
    <s v="Female"/>
    <n v="82"/>
    <n v="4"/>
    <n v="2"/>
    <x v="1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m/>
    <m/>
    <m/>
    <m/>
  </r>
  <r>
    <n v="29"/>
    <s v="No"/>
    <s v="Travel_Rarely"/>
    <n v="1247"/>
    <s v="Sales"/>
    <n v="20"/>
    <n v="2"/>
    <s v="Marketing"/>
    <n v="1"/>
    <n v="349"/>
    <n v="4"/>
    <s v="Male"/>
    <n v="45"/>
    <n v="3"/>
    <n v="2"/>
    <x v="0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m/>
    <m/>
    <m/>
    <m/>
  </r>
  <r>
    <n v="25"/>
    <s v="No"/>
    <s v="Travel_Rarely"/>
    <n v="685"/>
    <s v="Research &amp; Development"/>
    <n v="1"/>
    <n v="3"/>
    <s v="Life Sciences"/>
    <n v="1"/>
    <n v="350"/>
    <n v="1"/>
    <s v="Female"/>
    <n v="62"/>
    <n v="3"/>
    <n v="2"/>
    <x v="3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m/>
    <m/>
    <m/>
    <m/>
  </r>
  <r>
    <n v="42"/>
    <s v="No"/>
    <s v="Travel_Rarely"/>
    <n v="269"/>
    <s v="Research &amp; Development"/>
    <n v="2"/>
    <n v="3"/>
    <s v="Medical"/>
    <n v="1"/>
    <n v="351"/>
    <n v="4"/>
    <s v="Female"/>
    <n v="56"/>
    <n v="2"/>
    <n v="1"/>
    <x v="2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m/>
    <m/>
    <m/>
    <m/>
  </r>
  <r>
    <n v="40"/>
    <s v="No"/>
    <s v="Travel_Rarely"/>
    <n v="1416"/>
    <s v="Research &amp; Development"/>
    <n v="2"/>
    <n v="2"/>
    <s v="Medical"/>
    <n v="1"/>
    <n v="352"/>
    <n v="1"/>
    <s v="Male"/>
    <n v="49"/>
    <n v="3"/>
    <n v="5"/>
    <x v="7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m/>
    <m/>
    <m/>
    <m/>
  </r>
  <r>
    <n v="51"/>
    <s v="No"/>
    <s v="Travel_Rarely"/>
    <n v="833"/>
    <s v="Research &amp; Development"/>
    <n v="1"/>
    <n v="3"/>
    <s v="Life Sciences"/>
    <n v="1"/>
    <n v="353"/>
    <n v="3"/>
    <s v="Male"/>
    <n v="96"/>
    <n v="3"/>
    <n v="1"/>
    <x v="1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m/>
    <m/>
    <m/>
    <m/>
  </r>
  <r>
    <n v="31"/>
    <s v="Yes"/>
    <s v="Travel_Frequently"/>
    <n v="307"/>
    <s v="Research &amp; Development"/>
    <n v="29"/>
    <n v="2"/>
    <s v="Medical"/>
    <n v="1"/>
    <n v="355"/>
    <n v="3"/>
    <s v="Male"/>
    <n v="71"/>
    <n v="2"/>
    <n v="1"/>
    <x v="2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m/>
    <m/>
    <m/>
    <m/>
  </r>
  <r>
    <n v="32"/>
    <s v="No"/>
    <s v="Travel_Frequently"/>
    <n v="1311"/>
    <s v="Research &amp; Development"/>
    <n v="7"/>
    <n v="3"/>
    <s v="Life Sciences"/>
    <n v="1"/>
    <n v="359"/>
    <n v="2"/>
    <s v="Male"/>
    <n v="100"/>
    <n v="4"/>
    <n v="1"/>
    <x v="2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m/>
    <m/>
    <m/>
    <m/>
  </r>
  <r>
    <n v="38"/>
    <s v="No"/>
    <s v="Non-Travel"/>
    <n v="1327"/>
    <s v="Sales"/>
    <n v="2"/>
    <n v="2"/>
    <s v="Life Sciences"/>
    <n v="1"/>
    <n v="361"/>
    <n v="4"/>
    <s v="Male"/>
    <n v="39"/>
    <n v="2"/>
    <n v="2"/>
    <x v="0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m/>
    <m/>
    <m/>
    <m/>
  </r>
  <r>
    <n v="32"/>
    <s v="No"/>
    <s v="Travel_Rarely"/>
    <n v="128"/>
    <s v="Research &amp; Development"/>
    <n v="2"/>
    <n v="1"/>
    <s v="Technical Degree"/>
    <n v="1"/>
    <n v="362"/>
    <n v="4"/>
    <s v="Male"/>
    <n v="84"/>
    <n v="2"/>
    <n v="2"/>
    <x v="2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m/>
    <m/>
    <m/>
    <m/>
  </r>
  <r>
    <n v="46"/>
    <s v="No"/>
    <s v="Travel_Rarely"/>
    <n v="488"/>
    <s v="Sales"/>
    <n v="2"/>
    <n v="3"/>
    <s v="Technical Degree"/>
    <n v="1"/>
    <n v="363"/>
    <n v="3"/>
    <s v="Female"/>
    <n v="75"/>
    <n v="1"/>
    <n v="4"/>
    <x v="5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m/>
    <m/>
    <m/>
    <m/>
  </r>
  <r>
    <n v="28"/>
    <s v="Yes"/>
    <s v="Travel_Rarely"/>
    <n v="529"/>
    <s v="Research &amp; Development"/>
    <n v="2"/>
    <n v="4"/>
    <s v="Life Sciences"/>
    <n v="1"/>
    <n v="364"/>
    <n v="1"/>
    <s v="Male"/>
    <n v="79"/>
    <n v="3"/>
    <n v="1"/>
    <x v="2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m/>
    <m/>
    <m/>
    <m/>
  </r>
  <r>
    <n v="29"/>
    <s v="No"/>
    <s v="Travel_Rarely"/>
    <n v="1210"/>
    <s v="Sales"/>
    <n v="2"/>
    <n v="3"/>
    <s v="Medical"/>
    <n v="1"/>
    <n v="366"/>
    <n v="1"/>
    <s v="Male"/>
    <n v="78"/>
    <n v="2"/>
    <n v="2"/>
    <x v="0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m/>
    <m/>
    <m/>
    <m/>
  </r>
  <r>
    <n v="31"/>
    <s v="No"/>
    <s v="Travel_Rarely"/>
    <n v="1463"/>
    <s v="Research &amp; Development"/>
    <n v="23"/>
    <n v="3"/>
    <s v="Medical"/>
    <n v="1"/>
    <n v="367"/>
    <n v="2"/>
    <s v="Male"/>
    <n v="64"/>
    <n v="2"/>
    <n v="2"/>
    <x v="4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m/>
    <m/>
    <m/>
    <m/>
  </r>
  <r>
    <n v="25"/>
    <s v="No"/>
    <s v="Non-Travel"/>
    <n v="675"/>
    <s v="Research &amp; Development"/>
    <n v="5"/>
    <n v="2"/>
    <s v="Life Sciences"/>
    <n v="1"/>
    <n v="369"/>
    <n v="2"/>
    <s v="Male"/>
    <n v="85"/>
    <n v="4"/>
    <n v="2"/>
    <x v="4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m/>
    <m/>
    <m/>
    <m/>
  </r>
  <r>
    <n v="45"/>
    <s v="No"/>
    <s v="Travel_Rarely"/>
    <n v="1385"/>
    <s v="Research &amp; Development"/>
    <n v="20"/>
    <n v="2"/>
    <s v="Medical"/>
    <n v="1"/>
    <n v="372"/>
    <n v="3"/>
    <s v="Male"/>
    <n v="79"/>
    <n v="3"/>
    <n v="4"/>
    <x v="4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m/>
    <m/>
    <m/>
    <m/>
  </r>
  <r>
    <n v="36"/>
    <s v="No"/>
    <s v="Travel_Rarely"/>
    <n v="1403"/>
    <s v="Research &amp; Development"/>
    <n v="6"/>
    <n v="3"/>
    <s v="Life Sciences"/>
    <n v="1"/>
    <n v="373"/>
    <n v="4"/>
    <s v="Male"/>
    <n v="47"/>
    <n v="3"/>
    <n v="1"/>
    <x v="2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m/>
    <m/>
    <m/>
    <m/>
  </r>
  <r>
    <n v="55"/>
    <s v="No"/>
    <s v="Travel_Rarely"/>
    <n v="452"/>
    <s v="Research &amp; Development"/>
    <n v="1"/>
    <n v="3"/>
    <s v="Medical"/>
    <n v="1"/>
    <n v="374"/>
    <n v="4"/>
    <s v="Male"/>
    <n v="81"/>
    <n v="3"/>
    <n v="5"/>
    <x v="5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m/>
    <m/>
    <m/>
    <m/>
  </r>
  <r>
    <n v="47"/>
    <s v="Yes"/>
    <s v="Non-Travel"/>
    <n v="666"/>
    <s v="Research &amp; Development"/>
    <n v="29"/>
    <n v="4"/>
    <s v="Life Sciences"/>
    <n v="1"/>
    <n v="376"/>
    <n v="1"/>
    <s v="Male"/>
    <n v="88"/>
    <n v="3"/>
    <n v="3"/>
    <x v="5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m/>
    <m/>
    <m/>
    <m/>
  </r>
  <r>
    <n v="28"/>
    <s v="No"/>
    <s v="Travel_Rarely"/>
    <n v="1158"/>
    <s v="Research &amp; Development"/>
    <n v="9"/>
    <n v="3"/>
    <s v="Medical"/>
    <n v="1"/>
    <n v="377"/>
    <n v="4"/>
    <s v="Male"/>
    <n v="94"/>
    <n v="3"/>
    <n v="1"/>
    <x v="1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m/>
    <m/>
    <m/>
    <m/>
  </r>
  <r>
    <n v="37"/>
    <s v="No"/>
    <s v="Travel_Rarely"/>
    <n v="228"/>
    <s v="Sales"/>
    <n v="6"/>
    <n v="4"/>
    <s v="Medical"/>
    <n v="1"/>
    <n v="378"/>
    <n v="3"/>
    <s v="Male"/>
    <n v="98"/>
    <n v="3"/>
    <n v="2"/>
    <x v="0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m/>
    <m/>
    <m/>
    <m/>
  </r>
  <r>
    <n v="21"/>
    <s v="No"/>
    <s v="Travel_Rarely"/>
    <n v="996"/>
    <s v="Research &amp; Development"/>
    <n v="3"/>
    <n v="2"/>
    <s v="Medical"/>
    <n v="1"/>
    <n v="379"/>
    <n v="4"/>
    <s v="Male"/>
    <n v="100"/>
    <n v="2"/>
    <n v="1"/>
    <x v="1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m/>
    <m/>
    <m/>
    <m/>
  </r>
  <r>
    <n v="37"/>
    <s v="No"/>
    <s v="Non-Travel"/>
    <n v="728"/>
    <s v="Research &amp; Development"/>
    <n v="1"/>
    <n v="4"/>
    <s v="Medical"/>
    <n v="1"/>
    <n v="380"/>
    <n v="1"/>
    <s v="Female"/>
    <n v="80"/>
    <n v="3"/>
    <n v="3"/>
    <x v="7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m/>
    <m/>
    <m/>
    <m/>
  </r>
  <r>
    <n v="35"/>
    <s v="No"/>
    <s v="Travel_Rarely"/>
    <n v="1315"/>
    <s v="Research &amp; Development"/>
    <n v="22"/>
    <n v="3"/>
    <s v="Life Sciences"/>
    <n v="1"/>
    <n v="381"/>
    <n v="2"/>
    <s v="Female"/>
    <n v="71"/>
    <n v="4"/>
    <n v="3"/>
    <x v="5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m/>
    <m/>
    <m/>
    <m/>
  </r>
  <r>
    <n v="38"/>
    <s v="No"/>
    <s v="Travel_Rarely"/>
    <n v="322"/>
    <s v="Sales"/>
    <n v="7"/>
    <n v="2"/>
    <s v="Medical"/>
    <n v="1"/>
    <n v="382"/>
    <n v="1"/>
    <s v="Female"/>
    <n v="44"/>
    <n v="4"/>
    <n v="2"/>
    <x v="0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m/>
    <m/>
    <m/>
    <m/>
  </r>
  <r>
    <n v="26"/>
    <s v="No"/>
    <s v="Travel_Frequently"/>
    <n v="1479"/>
    <s v="Research &amp; Development"/>
    <n v="1"/>
    <n v="3"/>
    <s v="Life Sciences"/>
    <n v="1"/>
    <n v="384"/>
    <n v="3"/>
    <s v="Female"/>
    <n v="84"/>
    <n v="3"/>
    <n v="2"/>
    <x v="3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m/>
    <m/>
    <m/>
    <m/>
  </r>
  <r>
    <n v="50"/>
    <s v="No"/>
    <s v="Travel_Rarely"/>
    <n v="797"/>
    <s v="Research &amp; Development"/>
    <n v="4"/>
    <n v="1"/>
    <s v="Life Sciences"/>
    <n v="1"/>
    <n v="385"/>
    <n v="1"/>
    <s v="Male"/>
    <n v="96"/>
    <n v="3"/>
    <n v="5"/>
    <x v="7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m/>
    <m/>
    <m/>
    <m/>
  </r>
  <r>
    <n v="53"/>
    <s v="No"/>
    <s v="Travel_Rarely"/>
    <n v="1070"/>
    <s v="Research &amp; Development"/>
    <n v="3"/>
    <n v="4"/>
    <s v="Medical"/>
    <n v="1"/>
    <n v="386"/>
    <n v="3"/>
    <s v="Male"/>
    <n v="45"/>
    <n v="3"/>
    <n v="4"/>
    <x v="7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m/>
    <m/>
    <m/>
    <m/>
  </r>
  <r>
    <n v="42"/>
    <s v="No"/>
    <s v="Travel_Rarely"/>
    <n v="635"/>
    <s v="Sales"/>
    <n v="1"/>
    <n v="1"/>
    <s v="Life Sciences"/>
    <n v="1"/>
    <n v="387"/>
    <n v="2"/>
    <s v="Male"/>
    <n v="99"/>
    <n v="3"/>
    <n v="2"/>
    <x v="0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m/>
    <m/>
    <m/>
    <m/>
  </r>
  <r>
    <n v="29"/>
    <s v="No"/>
    <s v="Travel_Frequently"/>
    <n v="442"/>
    <s v="Sales"/>
    <n v="2"/>
    <n v="2"/>
    <s v="Life Sciences"/>
    <n v="1"/>
    <n v="388"/>
    <n v="2"/>
    <s v="Male"/>
    <n v="44"/>
    <n v="3"/>
    <n v="2"/>
    <x v="0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m/>
    <m/>
    <m/>
    <m/>
  </r>
  <r>
    <n v="55"/>
    <s v="No"/>
    <s v="Travel_Rarely"/>
    <n v="147"/>
    <s v="Research &amp; Development"/>
    <n v="20"/>
    <n v="2"/>
    <s v="Technical Degree"/>
    <n v="1"/>
    <n v="389"/>
    <n v="2"/>
    <s v="Male"/>
    <n v="37"/>
    <n v="3"/>
    <n v="2"/>
    <x v="2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m/>
    <m/>
    <m/>
    <m/>
  </r>
  <r>
    <n v="26"/>
    <s v="No"/>
    <s v="Travel_Frequently"/>
    <n v="496"/>
    <s v="Research &amp; Development"/>
    <n v="11"/>
    <n v="2"/>
    <s v="Medical"/>
    <n v="1"/>
    <n v="390"/>
    <n v="1"/>
    <s v="Male"/>
    <n v="60"/>
    <n v="3"/>
    <n v="2"/>
    <x v="4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m/>
    <m/>
    <m/>
    <m/>
  </r>
  <r>
    <n v="37"/>
    <s v="No"/>
    <s v="Travel_Rarely"/>
    <n v="1372"/>
    <s v="Research &amp; Development"/>
    <n v="1"/>
    <n v="3"/>
    <s v="Life Sciences"/>
    <n v="1"/>
    <n v="391"/>
    <n v="4"/>
    <s v="Female"/>
    <n v="42"/>
    <n v="3"/>
    <n v="1"/>
    <x v="1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m/>
    <m/>
    <m/>
    <m/>
  </r>
  <r>
    <n v="44"/>
    <s v="Yes"/>
    <s v="Travel_Frequently"/>
    <n v="920"/>
    <s v="Research &amp; Development"/>
    <n v="24"/>
    <n v="3"/>
    <s v="Life Sciences"/>
    <n v="1"/>
    <n v="392"/>
    <n v="4"/>
    <s v="Male"/>
    <n v="43"/>
    <n v="3"/>
    <n v="1"/>
    <x v="2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m/>
    <m/>
    <m/>
    <m/>
  </r>
  <r>
    <n v="38"/>
    <s v="No"/>
    <s v="Travel_Rarely"/>
    <n v="688"/>
    <s v="Research &amp; Development"/>
    <n v="23"/>
    <n v="4"/>
    <s v="Life Sciences"/>
    <n v="1"/>
    <n v="393"/>
    <n v="4"/>
    <s v="Male"/>
    <n v="82"/>
    <n v="3"/>
    <n v="2"/>
    <x v="4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m/>
    <m/>
    <m/>
    <m/>
  </r>
  <r>
    <n v="26"/>
    <s v="Yes"/>
    <s v="Travel_Rarely"/>
    <n v="1449"/>
    <s v="Research &amp; Development"/>
    <n v="16"/>
    <n v="4"/>
    <s v="Medical"/>
    <n v="1"/>
    <n v="394"/>
    <n v="1"/>
    <s v="Male"/>
    <n v="45"/>
    <n v="3"/>
    <n v="1"/>
    <x v="2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m/>
    <m/>
    <m/>
    <m/>
  </r>
  <r>
    <n v="28"/>
    <s v="No"/>
    <s v="Travel_Rarely"/>
    <n v="1117"/>
    <s v="Research &amp; Development"/>
    <n v="8"/>
    <n v="2"/>
    <s v="Life Sciences"/>
    <n v="1"/>
    <n v="395"/>
    <n v="4"/>
    <s v="Female"/>
    <n v="66"/>
    <n v="3"/>
    <n v="1"/>
    <x v="1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m/>
    <m/>
    <m/>
    <m/>
  </r>
  <r>
    <n v="49"/>
    <s v="No"/>
    <s v="Travel_Frequently"/>
    <n v="636"/>
    <s v="Research &amp; Development"/>
    <n v="10"/>
    <n v="4"/>
    <s v="Life Sciences"/>
    <n v="1"/>
    <n v="396"/>
    <n v="3"/>
    <s v="Female"/>
    <n v="35"/>
    <n v="3"/>
    <n v="5"/>
    <x v="7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m/>
    <m/>
    <m/>
    <m/>
  </r>
  <r>
    <n v="36"/>
    <s v="No"/>
    <s v="Travel_Rarely"/>
    <n v="506"/>
    <s v="Research &amp; Development"/>
    <n v="3"/>
    <n v="3"/>
    <s v="Technical Degree"/>
    <n v="1"/>
    <n v="397"/>
    <n v="3"/>
    <s v="Male"/>
    <n v="30"/>
    <n v="3"/>
    <n v="2"/>
    <x v="1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m/>
    <m/>
    <m/>
    <m/>
  </r>
  <r>
    <n v="31"/>
    <s v="No"/>
    <s v="Travel_Frequently"/>
    <n v="444"/>
    <s v="Sales"/>
    <n v="5"/>
    <n v="3"/>
    <s v="Marketing"/>
    <n v="1"/>
    <n v="399"/>
    <n v="4"/>
    <s v="Female"/>
    <n v="84"/>
    <n v="3"/>
    <n v="1"/>
    <x v="6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m/>
    <m/>
    <m/>
    <m/>
  </r>
  <r>
    <n v="26"/>
    <s v="Yes"/>
    <s v="Travel_Rarely"/>
    <n v="950"/>
    <s v="Sales"/>
    <n v="4"/>
    <n v="4"/>
    <s v="Marketing"/>
    <n v="1"/>
    <n v="401"/>
    <n v="4"/>
    <s v="Male"/>
    <n v="48"/>
    <n v="2"/>
    <n v="2"/>
    <x v="0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m/>
    <m/>
    <m/>
    <m/>
  </r>
  <r>
    <n v="37"/>
    <s v="No"/>
    <s v="Travel_Frequently"/>
    <n v="889"/>
    <s v="Research &amp; Development"/>
    <n v="9"/>
    <n v="3"/>
    <s v="Medical"/>
    <n v="1"/>
    <n v="403"/>
    <n v="2"/>
    <s v="Male"/>
    <n v="53"/>
    <n v="3"/>
    <n v="1"/>
    <x v="1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m/>
    <m/>
    <m/>
    <m/>
  </r>
  <r>
    <n v="42"/>
    <s v="No"/>
    <s v="Travel_Frequently"/>
    <n v="555"/>
    <s v="Sales"/>
    <n v="26"/>
    <n v="3"/>
    <s v="Marketing"/>
    <n v="1"/>
    <n v="404"/>
    <n v="3"/>
    <s v="Female"/>
    <n v="77"/>
    <n v="3"/>
    <n v="4"/>
    <x v="0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m/>
    <m/>
    <m/>
    <m/>
  </r>
  <r>
    <n v="18"/>
    <s v="Yes"/>
    <s v="Travel_Rarely"/>
    <n v="230"/>
    <s v="Research &amp; Development"/>
    <n v="3"/>
    <n v="3"/>
    <s v="Life Sciences"/>
    <n v="1"/>
    <n v="405"/>
    <n v="3"/>
    <s v="Male"/>
    <n v="54"/>
    <n v="3"/>
    <n v="1"/>
    <x v="2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m/>
    <m/>
    <m/>
    <m/>
  </r>
  <r>
    <n v="35"/>
    <s v="No"/>
    <s v="Travel_Rarely"/>
    <n v="1232"/>
    <s v="Sales"/>
    <n v="16"/>
    <n v="3"/>
    <s v="Marketing"/>
    <n v="1"/>
    <n v="406"/>
    <n v="3"/>
    <s v="Male"/>
    <n v="96"/>
    <n v="3"/>
    <n v="3"/>
    <x v="0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m/>
    <m/>
    <m/>
    <m/>
  </r>
  <r>
    <n v="36"/>
    <s v="No"/>
    <s v="Travel_Frequently"/>
    <n v="566"/>
    <s v="Research &amp; Development"/>
    <n v="18"/>
    <n v="4"/>
    <s v="Life Sciences"/>
    <n v="1"/>
    <n v="407"/>
    <n v="3"/>
    <s v="Male"/>
    <n v="81"/>
    <n v="4"/>
    <n v="1"/>
    <x v="2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m/>
    <m/>
    <m/>
    <m/>
  </r>
  <r>
    <n v="51"/>
    <s v="No"/>
    <s v="Travel_Rarely"/>
    <n v="1302"/>
    <s v="Research &amp; Development"/>
    <n v="2"/>
    <n v="3"/>
    <s v="Medical"/>
    <n v="1"/>
    <n v="408"/>
    <n v="4"/>
    <s v="Male"/>
    <n v="84"/>
    <n v="1"/>
    <n v="2"/>
    <x v="3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m/>
    <m/>
    <m/>
    <m/>
  </r>
  <r>
    <n v="41"/>
    <s v="No"/>
    <s v="Travel_Rarely"/>
    <n v="334"/>
    <s v="Sales"/>
    <n v="2"/>
    <n v="4"/>
    <s v="Life Sciences"/>
    <n v="1"/>
    <n v="410"/>
    <n v="4"/>
    <s v="Male"/>
    <n v="88"/>
    <n v="3"/>
    <n v="4"/>
    <x v="5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m/>
    <m/>
    <m/>
    <m/>
  </r>
  <r>
    <n v="18"/>
    <s v="No"/>
    <s v="Travel_Rarely"/>
    <n v="812"/>
    <s v="Sales"/>
    <n v="10"/>
    <n v="3"/>
    <s v="Medical"/>
    <n v="1"/>
    <n v="411"/>
    <n v="4"/>
    <s v="Female"/>
    <n v="69"/>
    <n v="2"/>
    <n v="1"/>
    <x v="6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m/>
    <m/>
    <m/>
    <m/>
  </r>
  <r>
    <n v="28"/>
    <s v="No"/>
    <s v="Travel_Rarely"/>
    <n v="1476"/>
    <s v="Research &amp; Development"/>
    <n v="16"/>
    <n v="2"/>
    <s v="Medical"/>
    <n v="1"/>
    <n v="412"/>
    <n v="2"/>
    <s v="Male"/>
    <n v="68"/>
    <n v="4"/>
    <n v="2"/>
    <x v="4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m/>
    <m/>
    <m/>
    <m/>
  </r>
  <r>
    <n v="31"/>
    <s v="No"/>
    <s v="Travel_Rarely"/>
    <n v="218"/>
    <s v="Sales"/>
    <n v="7"/>
    <n v="3"/>
    <s v="Technical Degree"/>
    <n v="1"/>
    <n v="416"/>
    <n v="2"/>
    <s v="Male"/>
    <n v="100"/>
    <n v="4"/>
    <n v="2"/>
    <x v="0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m/>
    <m/>
    <m/>
    <m/>
  </r>
  <r>
    <n v="39"/>
    <s v="No"/>
    <s v="Travel_Rarely"/>
    <n v="1132"/>
    <s v="Research &amp; Development"/>
    <n v="1"/>
    <n v="3"/>
    <s v="Medical"/>
    <n v="1"/>
    <n v="417"/>
    <n v="3"/>
    <s v="Male"/>
    <n v="48"/>
    <n v="4"/>
    <n v="3"/>
    <x v="4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m/>
    <m/>
    <m/>
    <m/>
  </r>
  <r>
    <n v="36"/>
    <s v="No"/>
    <s v="Non-Travel"/>
    <n v="1105"/>
    <s v="Research &amp; Development"/>
    <n v="24"/>
    <n v="4"/>
    <s v="Life Sciences"/>
    <n v="1"/>
    <n v="419"/>
    <n v="2"/>
    <s v="Female"/>
    <n v="47"/>
    <n v="3"/>
    <n v="2"/>
    <x v="2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m/>
    <m/>
    <m/>
    <m/>
  </r>
  <r>
    <n v="32"/>
    <s v="No"/>
    <s v="Travel_Rarely"/>
    <n v="906"/>
    <s v="Sales"/>
    <n v="7"/>
    <n v="3"/>
    <s v="Life Sciences"/>
    <n v="1"/>
    <n v="420"/>
    <n v="4"/>
    <s v="Male"/>
    <n v="91"/>
    <n v="2"/>
    <n v="2"/>
    <x v="0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m/>
    <m/>
    <m/>
    <m/>
  </r>
  <r>
    <n v="38"/>
    <s v="No"/>
    <s v="Travel_Rarely"/>
    <n v="849"/>
    <s v="Research &amp; Development"/>
    <n v="25"/>
    <n v="2"/>
    <s v="Life Sciences"/>
    <n v="1"/>
    <n v="421"/>
    <n v="1"/>
    <s v="Female"/>
    <n v="81"/>
    <n v="2"/>
    <n v="3"/>
    <x v="7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m/>
    <m/>
    <m/>
    <m/>
  </r>
  <r>
    <n v="58"/>
    <s v="No"/>
    <s v="Non-Travel"/>
    <n v="390"/>
    <s v="Research &amp; Development"/>
    <n v="1"/>
    <n v="4"/>
    <s v="Life Sciences"/>
    <n v="1"/>
    <n v="422"/>
    <n v="4"/>
    <s v="Male"/>
    <n v="32"/>
    <n v="1"/>
    <n v="2"/>
    <x v="4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m/>
    <m/>
    <m/>
    <m/>
  </r>
  <r>
    <n v="31"/>
    <s v="No"/>
    <s v="Travel_Rarely"/>
    <n v="691"/>
    <s v="Research &amp; Development"/>
    <n v="5"/>
    <n v="4"/>
    <s v="Technical Degree"/>
    <n v="1"/>
    <n v="423"/>
    <n v="3"/>
    <s v="Male"/>
    <n v="86"/>
    <n v="3"/>
    <n v="1"/>
    <x v="1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m/>
    <m/>
    <m/>
    <m/>
  </r>
  <r>
    <n v="31"/>
    <s v="No"/>
    <s v="Travel_Rarely"/>
    <n v="106"/>
    <s v="Human Resources"/>
    <n v="2"/>
    <n v="3"/>
    <s v="Human Resources"/>
    <n v="1"/>
    <n v="424"/>
    <n v="1"/>
    <s v="Male"/>
    <n v="62"/>
    <n v="2"/>
    <n v="2"/>
    <x v="8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m/>
    <m/>
    <m/>
    <m/>
  </r>
  <r>
    <n v="45"/>
    <s v="No"/>
    <s v="Travel_Frequently"/>
    <n v="1249"/>
    <s v="Research &amp; Development"/>
    <n v="7"/>
    <n v="3"/>
    <s v="Life Sciences"/>
    <n v="1"/>
    <n v="425"/>
    <n v="1"/>
    <s v="Male"/>
    <n v="97"/>
    <n v="3"/>
    <n v="3"/>
    <x v="2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m/>
    <m/>
    <m/>
    <m/>
  </r>
  <r>
    <n v="31"/>
    <s v="No"/>
    <s v="Travel_Rarely"/>
    <n v="192"/>
    <s v="Research &amp; Development"/>
    <n v="2"/>
    <n v="4"/>
    <s v="Life Sciences"/>
    <n v="1"/>
    <n v="426"/>
    <n v="3"/>
    <s v="Male"/>
    <n v="32"/>
    <n v="3"/>
    <n v="1"/>
    <x v="1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m/>
    <m/>
    <m/>
    <m/>
  </r>
  <r>
    <n v="33"/>
    <s v="No"/>
    <s v="Travel_Frequently"/>
    <n v="553"/>
    <s v="Research &amp; Development"/>
    <n v="5"/>
    <n v="4"/>
    <s v="Life Sciences"/>
    <n v="1"/>
    <n v="428"/>
    <n v="4"/>
    <s v="Female"/>
    <n v="74"/>
    <n v="3"/>
    <n v="3"/>
    <x v="5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m/>
    <m/>
    <m/>
    <m/>
  </r>
  <r>
    <n v="39"/>
    <s v="No"/>
    <s v="Travel_Rarely"/>
    <n v="117"/>
    <s v="Research &amp; Development"/>
    <n v="10"/>
    <n v="1"/>
    <s v="Medical"/>
    <n v="1"/>
    <n v="429"/>
    <n v="3"/>
    <s v="Male"/>
    <n v="99"/>
    <n v="3"/>
    <n v="4"/>
    <x v="5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m/>
    <m/>
    <m/>
    <m/>
  </r>
  <r>
    <n v="43"/>
    <s v="No"/>
    <s v="Travel_Frequently"/>
    <n v="185"/>
    <s v="Research &amp; Development"/>
    <n v="10"/>
    <n v="4"/>
    <s v="Life Sciences"/>
    <n v="1"/>
    <n v="430"/>
    <n v="3"/>
    <s v="Female"/>
    <n v="33"/>
    <n v="3"/>
    <n v="1"/>
    <x v="2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m/>
    <m/>
    <m/>
    <m/>
  </r>
  <r>
    <n v="49"/>
    <s v="No"/>
    <s v="Travel_Rarely"/>
    <n v="1091"/>
    <s v="Research &amp; Development"/>
    <n v="1"/>
    <n v="2"/>
    <s v="Technical Degree"/>
    <n v="1"/>
    <n v="431"/>
    <n v="3"/>
    <s v="Female"/>
    <n v="90"/>
    <n v="2"/>
    <n v="4"/>
    <x v="4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m/>
    <m/>
    <m/>
    <m/>
  </r>
  <r>
    <n v="52"/>
    <s v="Yes"/>
    <s v="Travel_Rarely"/>
    <n v="723"/>
    <s v="Research &amp; Development"/>
    <n v="8"/>
    <n v="4"/>
    <s v="Medical"/>
    <n v="1"/>
    <n v="433"/>
    <n v="3"/>
    <s v="Male"/>
    <n v="85"/>
    <n v="2"/>
    <n v="2"/>
    <x v="1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m/>
    <m/>
    <m/>
    <m/>
  </r>
  <r>
    <n v="27"/>
    <s v="No"/>
    <s v="Travel_Rarely"/>
    <n v="1220"/>
    <s v="Research &amp; Development"/>
    <n v="5"/>
    <n v="3"/>
    <s v="Life Sciences"/>
    <n v="1"/>
    <n v="434"/>
    <n v="3"/>
    <s v="Female"/>
    <n v="85"/>
    <n v="3"/>
    <n v="1"/>
    <x v="1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m/>
    <m/>
    <m/>
    <m/>
  </r>
  <r>
    <n v="32"/>
    <s v="No"/>
    <s v="Travel_Rarely"/>
    <n v="588"/>
    <s v="Sales"/>
    <n v="8"/>
    <n v="2"/>
    <s v="Technical Degree"/>
    <n v="1"/>
    <n v="436"/>
    <n v="3"/>
    <s v="Female"/>
    <n v="65"/>
    <n v="2"/>
    <n v="2"/>
    <x v="0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m/>
    <m/>
    <m/>
    <m/>
  </r>
  <r>
    <n v="27"/>
    <s v="No"/>
    <s v="Travel_Rarely"/>
    <n v="1377"/>
    <s v="Sales"/>
    <n v="2"/>
    <n v="3"/>
    <s v="Life Sciences"/>
    <n v="1"/>
    <n v="437"/>
    <n v="4"/>
    <s v="Male"/>
    <n v="74"/>
    <n v="3"/>
    <n v="2"/>
    <x v="0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m/>
    <m/>
    <m/>
    <m/>
  </r>
  <r>
    <n v="31"/>
    <s v="No"/>
    <s v="Travel_Rarely"/>
    <n v="691"/>
    <s v="Sales"/>
    <n v="7"/>
    <n v="3"/>
    <s v="Marketing"/>
    <n v="1"/>
    <n v="438"/>
    <n v="4"/>
    <s v="Male"/>
    <n v="73"/>
    <n v="3"/>
    <n v="2"/>
    <x v="0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m/>
    <m/>
    <m/>
    <m/>
  </r>
  <r>
    <n v="32"/>
    <s v="No"/>
    <s v="Travel_Rarely"/>
    <n v="1018"/>
    <s v="Research &amp; Development"/>
    <n v="2"/>
    <n v="4"/>
    <s v="Medical"/>
    <n v="1"/>
    <n v="439"/>
    <n v="1"/>
    <s v="Female"/>
    <n v="74"/>
    <n v="4"/>
    <n v="2"/>
    <x v="1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m/>
    <m/>
    <m/>
    <m/>
  </r>
  <r>
    <n v="28"/>
    <s v="Yes"/>
    <s v="Travel_Rarely"/>
    <n v="1157"/>
    <s v="Research &amp; Development"/>
    <n v="2"/>
    <n v="4"/>
    <s v="Medical"/>
    <n v="1"/>
    <n v="440"/>
    <n v="1"/>
    <s v="Male"/>
    <n v="84"/>
    <n v="1"/>
    <n v="1"/>
    <x v="1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m/>
    <m/>
    <m/>
    <m/>
  </r>
  <r>
    <n v="30"/>
    <s v="No"/>
    <s v="Travel_Rarely"/>
    <n v="1275"/>
    <s v="Research &amp; Development"/>
    <n v="28"/>
    <n v="2"/>
    <s v="Medical"/>
    <n v="1"/>
    <n v="441"/>
    <n v="4"/>
    <s v="Female"/>
    <n v="64"/>
    <n v="3"/>
    <n v="2"/>
    <x v="1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m/>
    <m/>
    <m/>
    <m/>
  </r>
  <r>
    <n v="31"/>
    <s v="No"/>
    <s v="Travel_Frequently"/>
    <n v="798"/>
    <s v="Research &amp; Development"/>
    <n v="7"/>
    <n v="2"/>
    <s v="Life Sciences"/>
    <n v="1"/>
    <n v="442"/>
    <n v="3"/>
    <s v="Female"/>
    <n v="48"/>
    <n v="2"/>
    <n v="3"/>
    <x v="3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m/>
    <m/>
    <m/>
    <m/>
  </r>
  <r>
    <n v="39"/>
    <s v="No"/>
    <s v="Travel_Frequently"/>
    <n v="672"/>
    <s v="Research &amp; Development"/>
    <n v="7"/>
    <n v="2"/>
    <s v="Medical"/>
    <n v="1"/>
    <n v="444"/>
    <n v="3"/>
    <s v="Male"/>
    <n v="54"/>
    <n v="2"/>
    <n v="5"/>
    <x v="5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m/>
    <m/>
    <m/>
    <m/>
  </r>
  <r>
    <n v="39"/>
    <s v="Yes"/>
    <s v="Travel_Rarely"/>
    <n v="1162"/>
    <s v="Sales"/>
    <n v="3"/>
    <n v="2"/>
    <s v="Medical"/>
    <n v="1"/>
    <n v="445"/>
    <n v="4"/>
    <s v="Female"/>
    <n v="41"/>
    <n v="3"/>
    <n v="2"/>
    <x v="0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m/>
    <m/>
    <m/>
    <m/>
  </r>
  <r>
    <n v="33"/>
    <s v="No"/>
    <s v="Travel_Frequently"/>
    <n v="508"/>
    <s v="Sales"/>
    <n v="10"/>
    <n v="3"/>
    <s v="Marketing"/>
    <n v="1"/>
    <n v="446"/>
    <n v="2"/>
    <s v="Male"/>
    <n v="46"/>
    <n v="2"/>
    <n v="2"/>
    <x v="0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m/>
    <m/>
    <m/>
    <m/>
  </r>
  <r>
    <n v="47"/>
    <s v="No"/>
    <s v="Travel_Rarely"/>
    <n v="1482"/>
    <s v="Research &amp; Development"/>
    <n v="5"/>
    <n v="5"/>
    <s v="Life Sciences"/>
    <n v="1"/>
    <n v="447"/>
    <n v="4"/>
    <s v="Male"/>
    <n v="42"/>
    <n v="3"/>
    <n v="5"/>
    <x v="7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m/>
    <m/>
    <m/>
    <m/>
  </r>
  <r>
    <n v="43"/>
    <s v="No"/>
    <s v="Travel_Frequently"/>
    <n v="559"/>
    <s v="Research &amp; Development"/>
    <n v="10"/>
    <n v="4"/>
    <s v="Life Sciences"/>
    <n v="1"/>
    <n v="448"/>
    <n v="3"/>
    <s v="Female"/>
    <n v="82"/>
    <n v="2"/>
    <n v="2"/>
    <x v="2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m/>
    <m/>
    <m/>
    <m/>
  </r>
  <r>
    <n v="27"/>
    <s v="No"/>
    <s v="Non-Travel"/>
    <n v="210"/>
    <s v="Sales"/>
    <n v="1"/>
    <n v="1"/>
    <s v="Marketing"/>
    <n v="1"/>
    <n v="449"/>
    <n v="3"/>
    <s v="Male"/>
    <n v="73"/>
    <n v="3"/>
    <n v="2"/>
    <x v="0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m/>
    <m/>
    <m/>
    <m/>
  </r>
  <r>
    <n v="54"/>
    <s v="No"/>
    <s v="Travel_Frequently"/>
    <n v="928"/>
    <s v="Research &amp; Development"/>
    <n v="20"/>
    <n v="4"/>
    <s v="Life Sciences"/>
    <n v="1"/>
    <n v="450"/>
    <n v="4"/>
    <s v="Female"/>
    <n v="31"/>
    <n v="3"/>
    <n v="2"/>
    <x v="1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m/>
    <m/>
    <m/>
    <m/>
  </r>
  <r>
    <n v="43"/>
    <s v="No"/>
    <s v="Travel_Rarely"/>
    <n v="1001"/>
    <s v="Research &amp; Development"/>
    <n v="7"/>
    <n v="3"/>
    <s v="Life Sciences"/>
    <n v="1"/>
    <n v="451"/>
    <n v="3"/>
    <s v="Female"/>
    <n v="43"/>
    <n v="3"/>
    <n v="3"/>
    <x v="4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m/>
    <m/>
    <m/>
    <m/>
  </r>
  <r>
    <n v="45"/>
    <s v="No"/>
    <s v="Travel_Rarely"/>
    <n v="549"/>
    <s v="Research &amp; Development"/>
    <n v="8"/>
    <n v="4"/>
    <s v="Other"/>
    <n v="1"/>
    <n v="452"/>
    <n v="4"/>
    <s v="Male"/>
    <n v="75"/>
    <n v="3"/>
    <n v="2"/>
    <x v="1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m/>
    <m/>
    <m/>
    <m/>
  </r>
  <r>
    <n v="40"/>
    <s v="No"/>
    <s v="Travel_Rarely"/>
    <n v="1124"/>
    <s v="Sales"/>
    <n v="1"/>
    <n v="2"/>
    <s v="Medical"/>
    <n v="1"/>
    <n v="453"/>
    <n v="2"/>
    <s v="Male"/>
    <n v="57"/>
    <n v="1"/>
    <n v="2"/>
    <x v="0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m/>
    <m/>
    <m/>
    <m/>
  </r>
  <r>
    <n v="29"/>
    <s v="Yes"/>
    <s v="Travel_Rarely"/>
    <n v="318"/>
    <s v="Research &amp; Development"/>
    <n v="8"/>
    <n v="4"/>
    <s v="Other"/>
    <n v="1"/>
    <n v="454"/>
    <n v="2"/>
    <s v="Male"/>
    <n v="77"/>
    <n v="1"/>
    <n v="1"/>
    <x v="2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m/>
    <m/>
    <m/>
    <m/>
  </r>
  <r>
    <n v="29"/>
    <s v="No"/>
    <s v="Travel_Rarely"/>
    <n v="738"/>
    <s v="Research &amp; Development"/>
    <n v="9"/>
    <n v="5"/>
    <s v="Other"/>
    <n v="1"/>
    <n v="455"/>
    <n v="2"/>
    <s v="Male"/>
    <n v="30"/>
    <n v="2"/>
    <n v="1"/>
    <x v="2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m/>
    <m/>
    <m/>
    <m/>
  </r>
  <r>
    <n v="30"/>
    <s v="No"/>
    <s v="Travel_Rarely"/>
    <n v="570"/>
    <s v="Sales"/>
    <n v="5"/>
    <n v="3"/>
    <s v="Marketing"/>
    <n v="1"/>
    <n v="456"/>
    <n v="4"/>
    <s v="Female"/>
    <n v="30"/>
    <n v="2"/>
    <n v="2"/>
    <x v="0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m/>
    <m/>
    <m/>
    <m/>
  </r>
  <r>
    <n v="27"/>
    <s v="No"/>
    <s v="Travel_Rarely"/>
    <n v="1130"/>
    <s v="Sales"/>
    <n v="8"/>
    <n v="4"/>
    <s v="Marketing"/>
    <n v="1"/>
    <n v="458"/>
    <n v="2"/>
    <s v="Female"/>
    <n v="56"/>
    <n v="3"/>
    <n v="2"/>
    <x v="0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m/>
    <m/>
    <m/>
    <m/>
  </r>
  <r>
    <n v="37"/>
    <s v="No"/>
    <s v="Travel_Rarely"/>
    <n v="1192"/>
    <s v="Research &amp; Development"/>
    <n v="5"/>
    <n v="2"/>
    <s v="Medical"/>
    <n v="1"/>
    <n v="460"/>
    <n v="4"/>
    <s v="Male"/>
    <n v="61"/>
    <n v="3"/>
    <n v="2"/>
    <x v="3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m/>
    <m/>
    <m/>
    <m/>
  </r>
  <r>
    <n v="38"/>
    <s v="No"/>
    <s v="Travel_Rarely"/>
    <n v="343"/>
    <s v="Research &amp; Development"/>
    <n v="15"/>
    <n v="2"/>
    <s v="Life Sciences"/>
    <n v="1"/>
    <n v="461"/>
    <n v="3"/>
    <s v="Male"/>
    <n v="92"/>
    <n v="2"/>
    <n v="3"/>
    <x v="7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m/>
    <m/>
    <m/>
    <m/>
  </r>
  <r>
    <n v="31"/>
    <s v="No"/>
    <s v="Travel_Rarely"/>
    <n v="1232"/>
    <s v="Research &amp; Development"/>
    <n v="7"/>
    <n v="4"/>
    <s v="Medical"/>
    <n v="1"/>
    <n v="462"/>
    <n v="3"/>
    <s v="Female"/>
    <n v="39"/>
    <n v="3"/>
    <n v="3"/>
    <x v="3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m/>
    <m/>
    <m/>
    <m/>
  </r>
  <r>
    <n v="29"/>
    <s v="No"/>
    <s v="Travel_Rarely"/>
    <n v="144"/>
    <s v="Sales"/>
    <n v="10"/>
    <n v="1"/>
    <s v="Marketing"/>
    <n v="1"/>
    <n v="463"/>
    <n v="4"/>
    <s v="Female"/>
    <n v="39"/>
    <n v="2"/>
    <n v="2"/>
    <x v="0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m/>
    <m/>
    <m/>
    <m/>
  </r>
  <r>
    <n v="35"/>
    <s v="No"/>
    <s v="Travel_Rarely"/>
    <n v="1296"/>
    <s v="Research &amp; Development"/>
    <n v="5"/>
    <n v="4"/>
    <s v="Technical Degree"/>
    <n v="1"/>
    <n v="464"/>
    <n v="3"/>
    <s v="Male"/>
    <n v="62"/>
    <n v="3"/>
    <n v="3"/>
    <x v="3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m/>
    <m/>
    <m/>
    <m/>
  </r>
  <r>
    <n v="23"/>
    <s v="No"/>
    <s v="Travel_Rarely"/>
    <n v="1309"/>
    <s v="Research &amp; Development"/>
    <n v="26"/>
    <n v="1"/>
    <s v="Life Sciences"/>
    <n v="1"/>
    <n v="465"/>
    <n v="3"/>
    <s v="Male"/>
    <n v="83"/>
    <n v="3"/>
    <n v="1"/>
    <x v="1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m/>
    <m/>
    <m/>
    <m/>
  </r>
  <r>
    <n v="41"/>
    <s v="No"/>
    <s v="Travel_Rarely"/>
    <n v="483"/>
    <s v="Research &amp; Development"/>
    <n v="6"/>
    <n v="3"/>
    <s v="Medical"/>
    <n v="1"/>
    <n v="466"/>
    <n v="4"/>
    <s v="Male"/>
    <n v="95"/>
    <n v="2"/>
    <n v="2"/>
    <x v="3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m/>
    <m/>
    <m/>
    <m/>
  </r>
  <r>
    <n v="47"/>
    <s v="No"/>
    <s v="Travel_Frequently"/>
    <n v="1309"/>
    <s v="Sales"/>
    <n v="4"/>
    <n v="1"/>
    <s v="Medical"/>
    <n v="1"/>
    <n v="467"/>
    <n v="2"/>
    <s v="Male"/>
    <n v="99"/>
    <n v="3"/>
    <n v="2"/>
    <x v="6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m/>
    <m/>
    <m/>
    <m/>
  </r>
  <r>
    <n v="42"/>
    <s v="No"/>
    <s v="Travel_Rarely"/>
    <n v="810"/>
    <s v="Research &amp; Development"/>
    <n v="23"/>
    <n v="5"/>
    <s v="Life Sciences"/>
    <n v="1"/>
    <n v="468"/>
    <n v="1"/>
    <s v="Female"/>
    <n v="44"/>
    <n v="3"/>
    <n v="4"/>
    <x v="7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m/>
    <m/>
    <m/>
    <m/>
  </r>
  <r>
    <n v="29"/>
    <s v="No"/>
    <s v="Non-Travel"/>
    <n v="746"/>
    <s v="Sales"/>
    <n v="2"/>
    <n v="3"/>
    <s v="Life Sciences"/>
    <n v="1"/>
    <n v="469"/>
    <n v="4"/>
    <s v="Male"/>
    <n v="61"/>
    <n v="3"/>
    <n v="2"/>
    <x v="0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m/>
    <m/>
    <m/>
    <m/>
  </r>
  <r>
    <n v="42"/>
    <s v="No"/>
    <s v="Travel_Rarely"/>
    <n v="544"/>
    <s v="Human Resources"/>
    <n v="2"/>
    <n v="1"/>
    <s v="Technical Degree"/>
    <n v="1"/>
    <n v="470"/>
    <n v="3"/>
    <s v="Male"/>
    <n v="52"/>
    <n v="3"/>
    <n v="1"/>
    <x v="8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m/>
    <m/>
    <m/>
    <m/>
  </r>
  <r>
    <n v="32"/>
    <s v="No"/>
    <s v="Travel_Rarely"/>
    <n v="1062"/>
    <s v="Research &amp; Development"/>
    <n v="2"/>
    <n v="3"/>
    <s v="Medical"/>
    <n v="1"/>
    <n v="471"/>
    <n v="3"/>
    <s v="Female"/>
    <n v="75"/>
    <n v="3"/>
    <n v="1"/>
    <x v="2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m/>
    <m/>
    <m/>
    <m/>
  </r>
  <r>
    <n v="48"/>
    <s v="No"/>
    <s v="Travel_Rarely"/>
    <n v="530"/>
    <s v="Sales"/>
    <n v="29"/>
    <n v="1"/>
    <s v="Medical"/>
    <n v="1"/>
    <n v="473"/>
    <n v="1"/>
    <s v="Female"/>
    <n v="91"/>
    <n v="3"/>
    <n v="3"/>
    <x v="5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m/>
    <m/>
    <m/>
    <m/>
  </r>
  <r>
    <n v="37"/>
    <s v="No"/>
    <s v="Travel_Rarely"/>
    <n v="1319"/>
    <s v="Research &amp; Development"/>
    <n v="6"/>
    <n v="3"/>
    <s v="Medical"/>
    <n v="1"/>
    <n v="474"/>
    <n v="3"/>
    <s v="Male"/>
    <n v="51"/>
    <n v="4"/>
    <n v="2"/>
    <x v="1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m/>
    <m/>
    <m/>
    <m/>
  </r>
  <r>
    <n v="30"/>
    <s v="No"/>
    <s v="Non-Travel"/>
    <n v="641"/>
    <s v="Sales"/>
    <n v="25"/>
    <n v="2"/>
    <s v="Technical Degree"/>
    <n v="1"/>
    <n v="475"/>
    <n v="4"/>
    <s v="Female"/>
    <n v="85"/>
    <n v="3"/>
    <n v="2"/>
    <x v="0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m/>
    <m/>
    <m/>
    <m/>
  </r>
  <r>
    <n v="26"/>
    <s v="No"/>
    <s v="Travel_Rarely"/>
    <n v="933"/>
    <s v="Sales"/>
    <n v="1"/>
    <n v="3"/>
    <s v="Life Sciences"/>
    <n v="1"/>
    <n v="476"/>
    <n v="3"/>
    <s v="Male"/>
    <n v="57"/>
    <n v="3"/>
    <n v="2"/>
    <x v="0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m/>
    <m/>
    <m/>
    <m/>
  </r>
  <r>
    <n v="42"/>
    <s v="No"/>
    <s v="Travel_Rarely"/>
    <n v="1332"/>
    <s v="Research &amp; Development"/>
    <n v="2"/>
    <n v="4"/>
    <s v="Other"/>
    <n v="1"/>
    <n v="477"/>
    <n v="1"/>
    <s v="Male"/>
    <n v="98"/>
    <n v="2"/>
    <n v="2"/>
    <x v="4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m/>
    <m/>
    <m/>
    <m/>
  </r>
  <r>
    <n v="21"/>
    <s v="Yes"/>
    <s v="Travel_Frequently"/>
    <n v="756"/>
    <s v="Sales"/>
    <n v="1"/>
    <n v="1"/>
    <s v="Technical Degree"/>
    <n v="1"/>
    <n v="478"/>
    <n v="1"/>
    <s v="Female"/>
    <n v="99"/>
    <n v="2"/>
    <n v="1"/>
    <x v="6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m/>
    <m/>
    <m/>
    <m/>
  </r>
  <r>
    <n v="36"/>
    <s v="No"/>
    <s v="Non-Travel"/>
    <n v="845"/>
    <s v="Sales"/>
    <n v="1"/>
    <n v="5"/>
    <s v="Medical"/>
    <n v="1"/>
    <n v="479"/>
    <n v="4"/>
    <s v="Female"/>
    <n v="45"/>
    <n v="3"/>
    <n v="2"/>
    <x v="0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m/>
    <m/>
    <m/>
    <m/>
  </r>
  <r>
    <n v="36"/>
    <s v="No"/>
    <s v="Travel_Frequently"/>
    <n v="541"/>
    <s v="Sales"/>
    <n v="3"/>
    <n v="4"/>
    <s v="Medical"/>
    <n v="1"/>
    <n v="481"/>
    <n v="1"/>
    <s v="Male"/>
    <n v="48"/>
    <n v="2"/>
    <n v="3"/>
    <x v="0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m/>
    <m/>
    <m/>
    <m/>
  </r>
  <r>
    <n v="57"/>
    <s v="No"/>
    <s v="Travel_Rarely"/>
    <n v="593"/>
    <s v="Research &amp; Development"/>
    <n v="1"/>
    <n v="4"/>
    <s v="Medical"/>
    <n v="1"/>
    <n v="482"/>
    <n v="4"/>
    <s v="Male"/>
    <n v="88"/>
    <n v="3"/>
    <n v="2"/>
    <x v="4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m/>
    <m/>
    <m/>
    <m/>
  </r>
  <r>
    <n v="40"/>
    <s v="No"/>
    <s v="Travel_Rarely"/>
    <n v="1171"/>
    <s v="Research &amp; Development"/>
    <n v="10"/>
    <n v="4"/>
    <s v="Life Sciences"/>
    <n v="1"/>
    <n v="483"/>
    <n v="4"/>
    <s v="Female"/>
    <n v="46"/>
    <n v="4"/>
    <n v="1"/>
    <x v="2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m/>
    <m/>
    <m/>
    <m/>
  </r>
  <r>
    <n v="21"/>
    <s v="No"/>
    <s v="Non-Travel"/>
    <n v="895"/>
    <s v="Sales"/>
    <n v="9"/>
    <n v="2"/>
    <s v="Medical"/>
    <n v="1"/>
    <n v="484"/>
    <n v="1"/>
    <s v="Male"/>
    <n v="39"/>
    <n v="3"/>
    <n v="1"/>
    <x v="6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m/>
    <m/>
    <m/>
    <m/>
  </r>
  <r>
    <n v="33"/>
    <s v="Yes"/>
    <s v="Travel_Rarely"/>
    <n v="350"/>
    <s v="Sales"/>
    <n v="5"/>
    <n v="3"/>
    <s v="Marketing"/>
    <n v="1"/>
    <n v="485"/>
    <n v="4"/>
    <s v="Female"/>
    <n v="34"/>
    <n v="3"/>
    <n v="1"/>
    <x v="6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m/>
    <m/>
    <m/>
    <m/>
  </r>
  <r>
    <n v="37"/>
    <s v="No"/>
    <s v="Travel_Rarely"/>
    <n v="921"/>
    <s v="Research &amp; Development"/>
    <n v="10"/>
    <n v="3"/>
    <s v="Medical"/>
    <n v="1"/>
    <n v="486"/>
    <n v="3"/>
    <s v="Female"/>
    <n v="98"/>
    <n v="3"/>
    <n v="1"/>
    <x v="2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m/>
    <m/>
    <m/>
    <m/>
  </r>
  <r>
    <n v="46"/>
    <s v="No"/>
    <s v="Non-Travel"/>
    <n v="1144"/>
    <s v="Research &amp; Development"/>
    <n v="7"/>
    <n v="4"/>
    <s v="Medical"/>
    <n v="1"/>
    <n v="487"/>
    <n v="3"/>
    <s v="Female"/>
    <n v="30"/>
    <n v="3"/>
    <n v="2"/>
    <x v="3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m/>
    <m/>
    <m/>
    <m/>
  </r>
  <r>
    <n v="41"/>
    <s v="Yes"/>
    <s v="Travel_Frequently"/>
    <n v="143"/>
    <s v="Sales"/>
    <n v="4"/>
    <n v="3"/>
    <s v="Marketing"/>
    <n v="1"/>
    <n v="488"/>
    <n v="1"/>
    <s v="Male"/>
    <n v="56"/>
    <n v="3"/>
    <n v="2"/>
    <x v="0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m/>
    <m/>
    <m/>
    <m/>
  </r>
  <r>
    <n v="50"/>
    <s v="No"/>
    <s v="Travel_Rarely"/>
    <n v="1046"/>
    <s v="Research &amp; Development"/>
    <n v="10"/>
    <n v="3"/>
    <s v="Technical Degree"/>
    <n v="1"/>
    <n v="491"/>
    <n v="4"/>
    <s v="Male"/>
    <n v="100"/>
    <n v="2"/>
    <n v="3"/>
    <x v="4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m/>
    <m/>
    <m/>
    <m/>
  </r>
  <r>
    <n v="40"/>
    <s v="Yes"/>
    <s v="Travel_Rarely"/>
    <n v="575"/>
    <s v="Sales"/>
    <n v="22"/>
    <n v="2"/>
    <s v="Marketing"/>
    <n v="1"/>
    <n v="492"/>
    <n v="3"/>
    <s v="Male"/>
    <n v="68"/>
    <n v="2"/>
    <n v="2"/>
    <x v="0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m/>
    <m/>
    <m/>
    <m/>
  </r>
  <r>
    <n v="31"/>
    <s v="No"/>
    <s v="Travel_Rarely"/>
    <n v="408"/>
    <s v="Research &amp; Development"/>
    <n v="9"/>
    <n v="4"/>
    <s v="Life Sciences"/>
    <n v="1"/>
    <n v="493"/>
    <n v="3"/>
    <s v="Male"/>
    <n v="42"/>
    <n v="2"/>
    <n v="1"/>
    <x v="1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m/>
    <m/>
    <m/>
    <m/>
  </r>
  <r>
    <n v="21"/>
    <s v="Yes"/>
    <s v="Travel_Rarely"/>
    <n v="156"/>
    <s v="Sales"/>
    <n v="12"/>
    <n v="3"/>
    <s v="Life Sciences"/>
    <n v="1"/>
    <n v="494"/>
    <n v="3"/>
    <s v="Female"/>
    <n v="90"/>
    <n v="4"/>
    <n v="1"/>
    <x v="6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m/>
    <m/>
    <m/>
    <m/>
  </r>
  <r>
    <n v="29"/>
    <s v="No"/>
    <s v="Travel_Rarely"/>
    <n v="1283"/>
    <s v="Research &amp; Development"/>
    <n v="23"/>
    <n v="3"/>
    <s v="Life Sciences"/>
    <n v="1"/>
    <n v="495"/>
    <n v="4"/>
    <s v="Male"/>
    <n v="54"/>
    <n v="3"/>
    <n v="1"/>
    <x v="1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m/>
    <m/>
    <m/>
    <m/>
  </r>
  <r>
    <n v="35"/>
    <s v="No"/>
    <s v="Travel_Rarely"/>
    <n v="755"/>
    <s v="Research &amp; Development"/>
    <n v="9"/>
    <n v="4"/>
    <s v="Life Sciences"/>
    <n v="1"/>
    <n v="496"/>
    <n v="3"/>
    <s v="Male"/>
    <n v="97"/>
    <n v="2"/>
    <n v="2"/>
    <x v="4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m/>
    <m/>
    <m/>
    <m/>
  </r>
  <r>
    <n v="27"/>
    <s v="No"/>
    <s v="Travel_Rarely"/>
    <n v="1469"/>
    <s v="Research &amp; Development"/>
    <n v="1"/>
    <n v="2"/>
    <s v="Medical"/>
    <n v="1"/>
    <n v="497"/>
    <n v="4"/>
    <s v="Male"/>
    <n v="82"/>
    <n v="3"/>
    <n v="1"/>
    <x v="2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m/>
    <m/>
    <m/>
    <m/>
  </r>
  <r>
    <n v="28"/>
    <s v="No"/>
    <s v="Travel_Rarely"/>
    <n v="304"/>
    <s v="Sales"/>
    <n v="9"/>
    <n v="4"/>
    <s v="Life Sciences"/>
    <n v="1"/>
    <n v="498"/>
    <n v="2"/>
    <s v="Male"/>
    <n v="92"/>
    <n v="3"/>
    <n v="2"/>
    <x v="0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m/>
    <m/>
    <m/>
    <m/>
  </r>
  <r>
    <n v="49"/>
    <s v="No"/>
    <s v="Travel_Rarely"/>
    <n v="1261"/>
    <s v="Research &amp; Development"/>
    <n v="7"/>
    <n v="3"/>
    <s v="Other"/>
    <n v="1"/>
    <n v="499"/>
    <n v="2"/>
    <s v="Male"/>
    <n v="31"/>
    <n v="2"/>
    <n v="3"/>
    <x v="4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m/>
    <m/>
    <m/>
    <m/>
  </r>
  <r>
    <n v="51"/>
    <s v="No"/>
    <s v="Travel_Rarely"/>
    <n v="1178"/>
    <s v="Sales"/>
    <n v="14"/>
    <n v="2"/>
    <s v="Life Sciences"/>
    <n v="1"/>
    <n v="500"/>
    <n v="3"/>
    <s v="Female"/>
    <n v="87"/>
    <n v="3"/>
    <n v="2"/>
    <x v="0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m/>
    <m/>
    <m/>
    <m/>
  </r>
  <r>
    <n v="36"/>
    <s v="No"/>
    <s v="Travel_Rarely"/>
    <n v="329"/>
    <s v="Research &amp; Development"/>
    <n v="2"/>
    <n v="3"/>
    <s v="Life Sciences"/>
    <n v="1"/>
    <n v="501"/>
    <n v="4"/>
    <s v="Female"/>
    <n v="96"/>
    <n v="3"/>
    <n v="1"/>
    <x v="1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m/>
    <m/>
    <m/>
    <m/>
  </r>
  <r>
    <n v="34"/>
    <s v="Yes"/>
    <s v="Non-Travel"/>
    <n v="1362"/>
    <s v="Sales"/>
    <n v="19"/>
    <n v="3"/>
    <s v="Marketing"/>
    <n v="1"/>
    <n v="502"/>
    <n v="1"/>
    <s v="Male"/>
    <n v="67"/>
    <n v="4"/>
    <n v="2"/>
    <x v="0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m/>
    <m/>
    <m/>
    <m/>
  </r>
  <r>
    <n v="55"/>
    <s v="No"/>
    <s v="Travel_Rarely"/>
    <n v="1311"/>
    <s v="Research &amp; Development"/>
    <n v="2"/>
    <n v="3"/>
    <s v="Life Sciences"/>
    <n v="1"/>
    <n v="505"/>
    <n v="3"/>
    <s v="Female"/>
    <n v="97"/>
    <n v="3"/>
    <n v="4"/>
    <x v="5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m/>
    <m/>
    <m/>
    <m/>
  </r>
  <r>
    <n v="24"/>
    <s v="No"/>
    <s v="Travel_Rarely"/>
    <n v="1371"/>
    <s v="Sales"/>
    <n v="10"/>
    <n v="4"/>
    <s v="Marketing"/>
    <n v="1"/>
    <n v="507"/>
    <n v="4"/>
    <s v="Female"/>
    <n v="77"/>
    <n v="3"/>
    <n v="2"/>
    <x v="0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m/>
    <m/>
    <m/>
    <m/>
  </r>
  <r>
    <n v="30"/>
    <s v="No"/>
    <s v="Travel_Rarely"/>
    <n v="202"/>
    <s v="Sales"/>
    <n v="2"/>
    <n v="1"/>
    <s v="Technical Degree"/>
    <n v="1"/>
    <n v="508"/>
    <n v="3"/>
    <s v="Male"/>
    <n v="72"/>
    <n v="3"/>
    <n v="1"/>
    <x v="6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m/>
    <m/>
    <m/>
    <m/>
  </r>
  <r>
    <n v="26"/>
    <s v="Yes"/>
    <s v="Travel_Frequently"/>
    <n v="575"/>
    <s v="Research &amp; Development"/>
    <n v="3"/>
    <n v="1"/>
    <s v="Technical Degree"/>
    <n v="1"/>
    <n v="510"/>
    <n v="3"/>
    <s v="Male"/>
    <n v="73"/>
    <n v="3"/>
    <n v="1"/>
    <x v="1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m/>
    <m/>
    <m/>
    <m/>
  </r>
  <r>
    <n v="22"/>
    <s v="No"/>
    <s v="Travel_Rarely"/>
    <n v="253"/>
    <s v="Research &amp; Development"/>
    <n v="11"/>
    <n v="3"/>
    <s v="Medical"/>
    <n v="1"/>
    <n v="511"/>
    <n v="1"/>
    <s v="Female"/>
    <n v="43"/>
    <n v="3"/>
    <n v="1"/>
    <x v="1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m/>
    <m/>
    <m/>
    <m/>
  </r>
  <r>
    <n v="36"/>
    <s v="No"/>
    <s v="Travel_Rarely"/>
    <n v="164"/>
    <s v="Sales"/>
    <n v="2"/>
    <n v="2"/>
    <s v="Medical"/>
    <n v="1"/>
    <n v="513"/>
    <n v="2"/>
    <s v="Male"/>
    <n v="61"/>
    <n v="2"/>
    <n v="3"/>
    <x v="0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m/>
    <m/>
    <m/>
    <m/>
  </r>
  <r>
    <n v="30"/>
    <s v="Yes"/>
    <s v="Travel_Frequently"/>
    <n v="464"/>
    <s v="Research &amp; Development"/>
    <n v="4"/>
    <n v="3"/>
    <s v="Technical Degree"/>
    <n v="1"/>
    <n v="514"/>
    <n v="3"/>
    <s v="Male"/>
    <n v="40"/>
    <n v="3"/>
    <n v="1"/>
    <x v="1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m/>
    <m/>
    <m/>
    <m/>
  </r>
  <r>
    <n v="37"/>
    <s v="No"/>
    <s v="Travel_Rarely"/>
    <n v="1107"/>
    <s v="Research &amp; Development"/>
    <n v="14"/>
    <n v="3"/>
    <s v="Life Sciences"/>
    <n v="1"/>
    <n v="515"/>
    <n v="4"/>
    <s v="Female"/>
    <n v="95"/>
    <n v="3"/>
    <n v="1"/>
    <x v="2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m/>
    <m/>
    <m/>
    <m/>
  </r>
  <r>
    <n v="40"/>
    <s v="No"/>
    <s v="Travel_Rarely"/>
    <n v="759"/>
    <s v="Sales"/>
    <n v="2"/>
    <n v="2"/>
    <s v="Marketing"/>
    <n v="1"/>
    <n v="516"/>
    <n v="4"/>
    <s v="Female"/>
    <n v="46"/>
    <n v="3"/>
    <n v="2"/>
    <x v="0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m/>
    <m/>
    <m/>
    <m/>
  </r>
  <r>
    <n v="42"/>
    <s v="No"/>
    <s v="Travel_Rarely"/>
    <n v="201"/>
    <s v="Research &amp; Development"/>
    <n v="1"/>
    <n v="4"/>
    <s v="Life Sciences"/>
    <n v="1"/>
    <n v="517"/>
    <n v="2"/>
    <s v="Female"/>
    <n v="95"/>
    <n v="3"/>
    <n v="1"/>
    <x v="2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m/>
    <m/>
    <m/>
    <m/>
  </r>
  <r>
    <n v="37"/>
    <s v="No"/>
    <s v="Travel_Rarely"/>
    <n v="1305"/>
    <s v="Research &amp; Development"/>
    <n v="10"/>
    <n v="4"/>
    <s v="Life Sciences"/>
    <n v="1"/>
    <n v="518"/>
    <n v="3"/>
    <s v="Male"/>
    <n v="49"/>
    <n v="3"/>
    <n v="2"/>
    <x v="3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m/>
    <m/>
    <m/>
    <m/>
  </r>
  <r>
    <n v="43"/>
    <s v="No"/>
    <s v="Travel_Rarely"/>
    <n v="982"/>
    <s v="Research &amp; Development"/>
    <n v="12"/>
    <n v="3"/>
    <s v="Life Sciences"/>
    <n v="1"/>
    <n v="520"/>
    <n v="1"/>
    <s v="Male"/>
    <n v="59"/>
    <n v="2"/>
    <n v="4"/>
    <x v="7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m/>
    <m/>
    <m/>
    <m/>
  </r>
  <r>
    <n v="40"/>
    <s v="No"/>
    <s v="Travel_Rarely"/>
    <n v="555"/>
    <s v="Research &amp; Development"/>
    <n v="2"/>
    <n v="3"/>
    <s v="Medical"/>
    <n v="1"/>
    <n v="521"/>
    <n v="2"/>
    <s v="Female"/>
    <n v="78"/>
    <n v="2"/>
    <n v="2"/>
    <x v="2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m/>
    <m/>
    <m/>
    <m/>
  </r>
  <r>
    <n v="54"/>
    <s v="No"/>
    <s v="Travel_Rarely"/>
    <n v="821"/>
    <s v="Research &amp; Development"/>
    <n v="5"/>
    <n v="2"/>
    <s v="Medical"/>
    <n v="1"/>
    <n v="522"/>
    <n v="1"/>
    <s v="Male"/>
    <n v="86"/>
    <n v="3"/>
    <n v="5"/>
    <x v="7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m/>
    <m/>
    <m/>
    <m/>
  </r>
  <r>
    <n v="34"/>
    <s v="No"/>
    <s v="Non-Travel"/>
    <n v="1381"/>
    <s v="Sales"/>
    <n v="4"/>
    <n v="4"/>
    <s v="Marketing"/>
    <n v="1"/>
    <n v="523"/>
    <n v="3"/>
    <s v="Female"/>
    <n v="72"/>
    <n v="3"/>
    <n v="2"/>
    <x v="0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m/>
    <m/>
    <m/>
    <m/>
  </r>
  <r>
    <n v="31"/>
    <s v="No"/>
    <s v="Travel_Rarely"/>
    <n v="480"/>
    <s v="Research &amp; Development"/>
    <n v="7"/>
    <n v="2"/>
    <s v="Medical"/>
    <n v="1"/>
    <n v="524"/>
    <n v="2"/>
    <s v="Female"/>
    <n v="31"/>
    <n v="3"/>
    <n v="2"/>
    <x v="3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m/>
    <m/>
    <m/>
    <m/>
  </r>
  <r>
    <n v="43"/>
    <s v="No"/>
    <s v="Travel_Frequently"/>
    <n v="313"/>
    <s v="Research &amp; Development"/>
    <n v="21"/>
    <n v="3"/>
    <s v="Medical"/>
    <n v="1"/>
    <n v="525"/>
    <n v="4"/>
    <s v="Male"/>
    <n v="61"/>
    <n v="3"/>
    <n v="1"/>
    <x v="2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m/>
    <m/>
    <m/>
    <m/>
  </r>
  <r>
    <n v="43"/>
    <s v="No"/>
    <s v="Travel_Rarely"/>
    <n v="1473"/>
    <s v="Research &amp; Development"/>
    <n v="8"/>
    <n v="4"/>
    <s v="Other"/>
    <n v="1"/>
    <n v="526"/>
    <n v="3"/>
    <s v="Female"/>
    <n v="74"/>
    <n v="3"/>
    <n v="2"/>
    <x v="4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m/>
    <m/>
    <m/>
    <m/>
  </r>
  <r>
    <n v="25"/>
    <s v="No"/>
    <s v="Travel_Rarely"/>
    <n v="891"/>
    <s v="Sales"/>
    <n v="4"/>
    <n v="2"/>
    <s v="Life Sciences"/>
    <n v="1"/>
    <n v="527"/>
    <n v="2"/>
    <s v="Female"/>
    <n v="99"/>
    <n v="2"/>
    <n v="2"/>
    <x v="0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m/>
    <m/>
    <m/>
    <m/>
  </r>
  <r>
    <n v="37"/>
    <s v="No"/>
    <s v="Non-Travel"/>
    <n v="1063"/>
    <s v="Research &amp; Development"/>
    <n v="25"/>
    <n v="5"/>
    <s v="Medical"/>
    <n v="1"/>
    <n v="529"/>
    <n v="2"/>
    <s v="Female"/>
    <n v="72"/>
    <n v="3"/>
    <n v="2"/>
    <x v="1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m/>
    <m/>
    <m/>
    <m/>
  </r>
  <r>
    <n v="31"/>
    <s v="No"/>
    <s v="Travel_Rarely"/>
    <n v="329"/>
    <s v="Research &amp; Development"/>
    <n v="1"/>
    <n v="2"/>
    <s v="Life Sciences"/>
    <n v="1"/>
    <n v="530"/>
    <n v="4"/>
    <s v="Male"/>
    <n v="98"/>
    <n v="2"/>
    <n v="1"/>
    <x v="2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m/>
    <m/>
    <m/>
    <m/>
  </r>
  <r>
    <n v="39"/>
    <s v="No"/>
    <s v="Travel_Frequently"/>
    <n v="1218"/>
    <s v="Research &amp; Development"/>
    <n v="1"/>
    <n v="1"/>
    <s v="Life Sciences"/>
    <n v="1"/>
    <n v="531"/>
    <n v="2"/>
    <s v="Male"/>
    <n v="52"/>
    <n v="3"/>
    <n v="5"/>
    <x v="5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m/>
    <m/>
    <m/>
    <m/>
  </r>
  <r>
    <n v="56"/>
    <s v="No"/>
    <s v="Travel_Frequently"/>
    <n v="906"/>
    <s v="Sales"/>
    <n v="6"/>
    <n v="3"/>
    <s v="Life Sciences"/>
    <n v="1"/>
    <n v="532"/>
    <n v="3"/>
    <s v="Female"/>
    <n v="86"/>
    <n v="4"/>
    <n v="4"/>
    <x v="0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m/>
    <m/>
    <m/>
    <m/>
  </r>
  <r>
    <n v="30"/>
    <s v="No"/>
    <s v="Travel_Rarely"/>
    <n v="1082"/>
    <s v="Sales"/>
    <n v="12"/>
    <n v="3"/>
    <s v="Technical Degree"/>
    <n v="1"/>
    <n v="533"/>
    <n v="2"/>
    <s v="Female"/>
    <n v="83"/>
    <n v="3"/>
    <n v="2"/>
    <x v="0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m/>
    <m/>
    <m/>
    <m/>
  </r>
  <r>
    <n v="41"/>
    <s v="No"/>
    <s v="Travel_Rarely"/>
    <n v="645"/>
    <s v="Sales"/>
    <n v="1"/>
    <n v="3"/>
    <s v="Marketing"/>
    <n v="1"/>
    <n v="534"/>
    <n v="2"/>
    <s v="Male"/>
    <n v="49"/>
    <n v="4"/>
    <n v="3"/>
    <x v="0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m/>
    <m/>
    <m/>
    <m/>
  </r>
  <r>
    <n v="28"/>
    <s v="No"/>
    <s v="Travel_Rarely"/>
    <n v="1300"/>
    <s v="Research &amp; Development"/>
    <n v="17"/>
    <n v="2"/>
    <s v="Medical"/>
    <n v="1"/>
    <n v="536"/>
    <n v="3"/>
    <s v="Male"/>
    <n v="79"/>
    <n v="3"/>
    <n v="2"/>
    <x v="2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m/>
    <m/>
    <m/>
    <m/>
  </r>
  <r>
    <n v="25"/>
    <s v="Yes"/>
    <s v="Travel_Rarely"/>
    <n v="688"/>
    <s v="Research &amp; Development"/>
    <n v="3"/>
    <n v="3"/>
    <s v="Medical"/>
    <n v="1"/>
    <n v="538"/>
    <n v="1"/>
    <s v="Male"/>
    <n v="91"/>
    <n v="3"/>
    <n v="1"/>
    <x v="2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m/>
    <m/>
    <m/>
    <m/>
  </r>
  <r>
    <n v="52"/>
    <s v="No"/>
    <s v="Travel_Rarely"/>
    <n v="319"/>
    <s v="Research &amp; Development"/>
    <n v="3"/>
    <n v="3"/>
    <s v="Medical"/>
    <n v="1"/>
    <n v="543"/>
    <n v="4"/>
    <s v="Male"/>
    <n v="39"/>
    <n v="2"/>
    <n v="3"/>
    <x v="3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m/>
    <m/>
    <m/>
    <m/>
  </r>
  <r>
    <n v="45"/>
    <s v="No"/>
    <s v="Travel_Rarely"/>
    <n v="192"/>
    <s v="Research &amp; Development"/>
    <n v="10"/>
    <n v="2"/>
    <s v="Life Sciences"/>
    <n v="1"/>
    <n v="544"/>
    <n v="1"/>
    <s v="Male"/>
    <n v="69"/>
    <n v="3"/>
    <n v="1"/>
    <x v="1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m/>
    <m/>
    <m/>
    <m/>
  </r>
  <r>
    <n v="52"/>
    <s v="No"/>
    <s v="Travel_Rarely"/>
    <n v="1490"/>
    <s v="Research &amp; Development"/>
    <n v="4"/>
    <n v="2"/>
    <s v="Life Sciences"/>
    <n v="1"/>
    <n v="546"/>
    <n v="4"/>
    <s v="Female"/>
    <n v="30"/>
    <n v="3"/>
    <n v="4"/>
    <x v="5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m/>
    <m/>
    <m/>
    <m/>
  </r>
  <r>
    <n v="42"/>
    <s v="No"/>
    <s v="Travel_Frequently"/>
    <n v="532"/>
    <s v="Research &amp; Development"/>
    <n v="29"/>
    <n v="2"/>
    <s v="Life Sciences"/>
    <n v="1"/>
    <n v="547"/>
    <n v="1"/>
    <s v="Female"/>
    <n v="92"/>
    <n v="3"/>
    <n v="2"/>
    <x v="1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m/>
    <m/>
    <m/>
    <m/>
  </r>
  <r>
    <n v="30"/>
    <s v="No"/>
    <s v="Travel_Rarely"/>
    <n v="317"/>
    <s v="Research &amp; Development"/>
    <n v="2"/>
    <n v="3"/>
    <s v="Life Sciences"/>
    <n v="1"/>
    <n v="548"/>
    <n v="3"/>
    <s v="Female"/>
    <n v="43"/>
    <n v="1"/>
    <n v="2"/>
    <x v="3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m/>
    <m/>
    <m/>
    <m/>
  </r>
  <r>
    <n v="60"/>
    <s v="No"/>
    <s v="Travel_Rarely"/>
    <n v="422"/>
    <s v="Research &amp; Development"/>
    <n v="7"/>
    <n v="3"/>
    <s v="Life Sciences"/>
    <n v="1"/>
    <n v="549"/>
    <n v="1"/>
    <s v="Female"/>
    <n v="41"/>
    <n v="3"/>
    <n v="5"/>
    <x v="5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m/>
    <m/>
    <m/>
    <m/>
  </r>
  <r>
    <n v="46"/>
    <s v="No"/>
    <s v="Travel_Rarely"/>
    <n v="1485"/>
    <s v="Research &amp; Development"/>
    <n v="18"/>
    <n v="3"/>
    <s v="Medical"/>
    <n v="1"/>
    <n v="550"/>
    <n v="3"/>
    <s v="Female"/>
    <n v="87"/>
    <n v="3"/>
    <n v="2"/>
    <x v="3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m/>
    <m/>
    <m/>
    <m/>
  </r>
  <r>
    <n v="42"/>
    <s v="No"/>
    <s v="Travel_Frequently"/>
    <n v="1368"/>
    <s v="Research &amp; Development"/>
    <n v="28"/>
    <n v="4"/>
    <s v="Technical Degree"/>
    <n v="1"/>
    <n v="551"/>
    <n v="4"/>
    <s v="Female"/>
    <n v="88"/>
    <n v="2"/>
    <n v="2"/>
    <x v="4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m/>
    <m/>
    <m/>
    <m/>
  </r>
  <r>
    <n v="24"/>
    <s v="Yes"/>
    <s v="Travel_Rarely"/>
    <n v="1448"/>
    <s v="Sales"/>
    <n v="1"/>
    <n v="1"/>
    <s v="Technical Degree"/>
    <n v="1"/>
    <n v="554"/>
    <n v="1"/>
    <s v="Female"/>
    <n v="62"/>
    <n v="3"/>
    <n v="1"/>
    <x v="6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m/>
    <m/>
    <m/>
    <m/>
  </r>
  <r>
    <n v="34"/>
    <s v="Yes"/>
    <s v="Travel_Frequently"/>
    <n v="296"/>
    <s v="Sales"/>
    <n v="6"/>
    <n v="2"/>
    <s v="Marketing"/>
    <n v="1"/>
    <n v="555"/>
    <n v="4"/>
    <s v="Female"/>
    <n v="33"/>
    <n v="1"/>
    <n v="1"/>
    <x v="6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m/>
    <m/>
    <m/>
    <m/>
  </r>
  <r>
    <n v="38"/>
    <s v="No"/>
    <s v="Travel_Frequently"/>
    <n v="1490"/>
    <s v="Research &amp; Development"/>
    <n v="2"/>
    <n v="2"/>
    <s v="Life Sciences"/>
    <n v="1"/>
    <n v="556"/>
    <n v="4"/>
    <s v="Male"/>
    <n v="42"/>
    <n v="3"/>
    <n v="1"/>
    <x v="2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m/>
    <m/>
    <m/>
    <m/>
  </r>
  <r>
    <n v="40"/>
    <s v="No"/>
    <s v="Travel_Rarely"/>
    <n v="1398"/>
    <s v="Sales"/>
    <n v="2"/>
    <n v="4"/>
    <s v="Life Sciences"/>
    <n v="1"/>
    <n v="558"/>
    <n v="3"/>
    <s v="Female"/>
    <n v="79"/>
    <n v="3"/>
    <n v="5"/>
    <x v="5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m/>
    <m/>
    <m/>
    <m/>
  </r>
  <r>
    <n v="26"/>
    <s v="No"/>
    <s v="Travel_Rarely"/>
    <n v="1349"/>
    <s v="Research &amp; Development"/>
    <n v="23"/>
    <n v="3"/>
    <s v="Life Sciences"/>
    <n v="1"/>
    <n v="560"/>
    <n v="1"/>
    <s v="Female"/>
    <n v="90"/>
    <n v="3"/>
    <n v="1"/>
    <x v="1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m/>
    <m/>
    <m/>
    <m/>
  </r>
  <r>
    <n v="30"/>
    <s v="No"/>
    <s v="Non-Travel"/>
    <n v="1400"/>
    <s v="Research &amp; Development"/>
    <n v="3"/>
    <n v="3"/>
    <s v="Life Sciences"/>
    <n v="1"/>
    <n v="562"/>
    <n v="3"/>
    <s v="Male"/>
    <n v="53"/>
    <n v="3"/>
    <n v="1"/>
    <x v="2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m/>
    <m/>
    <m/>
    <m/>
  </r>
  <r>
    <n v="29"/>
    <s v="No"/>
    <s v="Travel_Rarely"/>
    <n v="986"/>
    <s v="Research &amp; Development"/>
    <n v="3"/>
    <n v="4"/>
    <s v="Medical"/>
    <n v="1"/>
    <n v="564"/>
    <n v="2"/>
    <s v="Male"/>
    <n v="93"/>
    <n v="2"/>
    <n v="3"/>
    <x v="7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m/>
    <m/>
    <m/>
    <m/>
  </r>
  <r>
    <n v="29"/>
    <s v="Yes"/>
    <s v="Travel_Rarely"/>
    <n v="408"/>
    <s v="Research &amp; Development"/>
    <n v="25"/>
    <n v="5"/>
    <s v="Technical Degree"/>
    <n v="1"/>
    <n v="565"/>
    <n v="3"/>
    <s v="Female"/>
    <n v="71"/>
    <n v="2"/>
    <n v="1"/>
    <x v="1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m/>
    <m/>
    <m/>
    <m/>
  </r>
  <r>
    <n v="19"/>
    <s v="Yes"/>
    <s v="Travel_Rarely"/>
    <n v="489"/>
    <s v="Human Resources"/>
    <n v="2"/>
    <n v="2"/>
    <s v="Technical Degree"/>
    <n v="1"/>
    <n v="566"/>
    <n v="1"/>
    <s v="Male"/>
    <n v="52"/>
    <n v="2"/>
    <n v="1"/>
    <x v="8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m/>
    <m/>
    <m/>
    <m/>
  </r>
  <r>
    <n v="30"/>
    <s v="No"/>
    <s v="Non-Travel"/>
    <n v="1398"/>
    <s v="Sales"/>
    <n v="22"/>
    <n v="4"/>
    <s v="Other"/>
    <n v="1"/>
    <n v="567"/>
    <n v="3"/>
    <s v="Female"/>
    <n v="69"/>
    <n v="3"/>
    <n v="3"/>
    <x v="0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m/>
    <m/>
    <m/>
    <m/>
  </r>
  <r>
    <n v="57"/>
    <s v="No"/>
    <s v="Travel_Rarely"/>
    <n v="210"/>
    <s v="Sales"/>
    <n v="29"/>
    <n v="3"/>
    <s v="Marketing"/>
    <n v="1"/>
    <n v="568"/>
    <n v="1"/>
    <s v="Male"/>
    <n v="56"/>
    <n v="2"/>
    <n v="4"/>
    <x v="5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m/>
    <m/>
    <m/>
    <m/>
  </r>
  <r>
    <n v="50"/>
    <s v="No"/>
    <s v="Travel_Rarely"/>
    <n v="1099"/>
    <s v="Research &amp; Development"/>
    <n v="29"/>
    <n v="4"/>
    <s v="Life Sciences"/>
    <n v="1"/>
    <n v="569"/>
    <n v="2"/>
    <s v="Male"/>
    <n v="88"/>
    <n v="2"/>
    <n v="4"/>
    <x v="5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m/>
    <m/>
    <m/>
    <m/>
  </r>
  <r>
    <n v="30"/>
    <s v="No"/>
    <s v="Non-Travel"/>
    <n v="1116"/>
    <s v="Research &amp; Development"/>
    <n v="2"/>
    <n v="3"/>
    <s v="Medical"/>
    <n v="1"/>
    <n v="571"/>
    <n v="3"/>
    <s v="Female"/>
    <n v="49"/>
    <n v="3"/>
    <n v="1"/>
    <x v="2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m/>
    <m/>
    <m/>
    <m/>
  </r>
  <r>
    <n v="60"/>
    <s v="No"/>
    <s v="Travel_Frequently"/>
    <n v="1499"/>
    <s v="Sales"/>
    <n v="28"/>
    <n v="3"/>
    <s v="Marketing"/>
    <n v="1"/>
    <n v="573"/>
    <n v="3"/>
    <s v="Female"/>
    <n v="80"/>
    <n v="2"/>
    <n v="3"/>
    <x v="0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m/>
    <m/>
    <m/>
    <m/>
  </r>
  <r>
    <n v="47"/>
    <s v="No"/>
    <s v="Travel_Rarely"/>
    <n v="983"/>
    <s v="Research &amp; Development"/>
    <n v="2"/>
    <n v="2"/>
    <s v="Medical"/>
    <n v="1"/>
    <n v="574"/>
    <n v="1"/>
    <s v="Female"/>
    <n v="65"/>
    <n v="3"/>
    <n v="2"/>
    <x v="3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m/>
    <m/>
    <m/>
    <m/>
  </r>
  <r>
    <n v="46"/>
    <s v="No"/>
    <s v="Travel_Rarely"/>
    <n v="1009"/>
    <s v="Research &amp; Development"/>
    <n v="2"/>
    <n v="3"/>
    <s v="Life Sciences"/>
    <n v="1"/>
    <n v="575"/>
    <n v="1"/>
    <s v="Male"/>
    <n v="51"/>
    <n v="3"/>
    <n v="4"/>
    <x v="7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m/>
    <m/>
    <m/>
    <m/>
  </r>
  <r>
    <n v="35"/>
    <s v="No"/>
    <s v="Travel_Rarely"/>
    <n v="144"/>
    <s v="Research &amp; Development"/>
    <n v="22"/>
    <n v="3"/>
    <s v="Life Sciences"/>
    <n v="1"/>
    <n v="577"/>
    <n v="4"/>
    <s v="Male"/>
    <n v="46"/>
    <n v="1"/>
    <n v="1"/>
    <x v="2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m/>
    <m/>
    <m/>
    <m/>
  </r>
  <r>
    <n v="54"/>
    <s v="No"/>
    <s v="Travel_Rarely"/>
    <n v="548"/>
    <s v="Research &amp; Development"/>
    <n v="8"/>
    <n v="4"/>
    <s v="Life Sciences"/>
    <n v="1"/>
    <n v="578"/>
    <n v="3"/>
    <s v="Female"/>
    <n v="42"/>
    <n v="3"/>
    <n v="2"/>
    <x v="2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m/>
    <m/>
    <m/>
    <m/>
  </r>
  <r>
    <n v="34"/>
    <s v="No"/>
    <s v="Travel_Rarely"/>
    <n v="1303"/>
    <s v="Research &amp; Development"/>
    <n v="2"/>
    <n v="4"/>
    <s v="Life Sciences"/>
    <n v="1"/>
    <n v="579"/>
    <n v="4"/>
    <s v="Male"/>
    <n v="62"/>
    <n v="2"/>
    <n v="1"/>
    <x v="1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m/>
    <m/>
    <m/>
    <m/>
  </r>
  <r>
    <n v="46"/>
    <s v="No"/>
    <s v="Travel_Rarely"/>
    <n v="1125"/>
    <s v="Sales"/>
    <n v="10"/>
    <n v="3"/>
    <s v="Marketing"/>
    <n v="1"/>
    <n v="580"/>
    <n v="3"/>
    <s v="Female"/>
    <n v="94"/>
    <n v="2"/>
    <n v="3"/>
    <x v="0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m/>
    <m/>
    <m/>
    <m/>
  </r>
  <r>
    <n v="31"/>
    <s v="No"/>
    <s v="Travel_Rarely"/>
    <n v="1274"/>
    <s v="Research &amp; Development"/>
    <n v="9"/>
    <n v="1"/>
    <s v="Life Sciences"/>
    <n v="1"/>
    <n v="581"/>
    <n v="3"/>
    <s v="Male"/>
    <n v="33"/>
    <n v="3"/>
    <n v="3"/>
    <x v="3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m/>
    <m/>
    <m/>
    <m/>
  </r>
  <r>
    <n v="33"/>
    <s v="Yes"/>
    <s v="Travel_Rarely"/>
    <n v="1277"/>
    <s v="Research &amp; Development"/>
    <n v="15"/>
    <n v="1"/>
    <s v="Medical"/>
    <n v="1"/>
    <n v="582"/>
    <n v="2"/>
    <s v="Male"/>
    <n v="56"/>
    <n v="3"/>
    <n v="3"/>
    <x v="5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m/>
    <m/>
    <m/>
    <m/>
  </r>
  <r>
    <n v="33"/>
    <s v="Yes"/>
    <s v="Travel_Rarely"/>
    <n v="587"/>
    <s v="Research &amp; Development"/>
    <n v="10"/>
    <n v="1"/>
    <s v="Medical"/>
    <n v="1"/>
    <n v="584"/>
    <n v="1"/>
    <s v="Male"/>
    <n v="38"/>
    <n v="1"/>
    <n v="1"/>
    <x v="2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m/>
    <m/>
    <m/>
    <m/>
  </r>
  <r>
    <n v="30"/>
    <s v="No"/>
    <s v="Travel_Rarely"/>
    <n v="413"/>
    <s v="Sales"/>
    <n v="7"/>
    <n v="1"/>
    <s v="Marketing"/>
    <n v="1"/>
    <n v="585"/>
    <n v="4"/>
    <s v="Male"/>
    <n v="57"/>
    <n v="3"/>
    <n v="1"/>
    <x v="6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m/>
    <m/>
    <m/>
    <m/>
  </r>
  <r>
    <n v="35"/>
    <s v="No"/>
    <s v="Travel_Rarely"/>
    <n v="1276"/>
    <s v="Research &amp; Development"/>
    <n v="16"/>
    <n v="3"/>
    <s v="Life Sciences"/>
    <n v="1"/>
    <n v="586"/>
    <n v="4"/>
    <s v="Male"/>
    <n v="72"/>
    <n v="3"/>
    <n v="3"/>
    <x v="4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m/>
    <m/>
    <m/>
    <m/>
  </r>
  <r>
    <n v="31"/>
    <s v="Yes"/>
    <s v="Travel_Frequently"/>
    <n v="534"/>
    <s v="Research &amp; Development"/>
    <n v="20"/>
    <n v="3"/>
    <s v="Life Sciences"/>
    <n v="1"/>
    <n v="587"/>
    <n v="1"/>
    <s v="Male"/>
    <n v="66"/>
    <n v="3"/>
    <n v="3"/>
    <x v="4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m/>
    <m/>
    <m/>
    <m/>
  </r>
  <r>
    <n v="34"/>
    <s v="Yes"/>
    <s v="Travel_Frequently"/>
    <n v="988"/>
    <s v="Human Resources"/>
    <n v="23"/>
    <n v="3"/>
    <s v="Human Resources"/>
    <n v="1"/>
    <n v="590"/>
    <n v="2"/>
    <s v="Female"/>
    <n v="43"/>
    <n v="3"/>
    <n v="3"/>
    <x v="8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m/>
    <m/>
    <m/>
    <m/>
  </r>
  <r>
    <n v="42"/>
    <s v="No"/>
    <s v="Travel_Frequently"/>
    <n v="1474"/>
    <s v="Research &amp; Development"/>
    <n v="5"/>
    <n v="2"/>
    <s v="Other"/>
    <n v="1"/>
    <n v="591"/>
    <n v="2"/>
    <s v="Male"/>
    <n v="97"/>
    <n v="3"/>
    <n v="1"/>
    <x v="2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m/>
    <m/>
    <m/>
    <m/>
  </r>
  <r>
    <n v="36"/>
    <s v="No"/>
    <s v="Non-Travel"/>
    <n v="635"/>
    <s v="Sales"/>
    <n v="10"/>
    <n v="4"/>
    <s v="Medical"/>
    <n v="1"/>
    <n v="592"/>
    <n v="2"/>
    <s v="Male"/>
    <n v="32"/>
    <n v="3"/>
    <n v="3"/>
    <x v="0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m/>
    <m/>
    <m/>
    <m/>
  </r>
  <r>
    <n v="22"/>
    <s v="Yes"/>
    <s v="Travel_Frequently"/>
    <n v="1368"/>
    <s v="Research &amp; Development"/>
    <n v="4"/>
    <n v="1"/>
    <s v="Technical Degree"/>
    <n v="1"/>
    <n v="593"/>
    <n v="3"/>
    <s v="Male"/>
    <n v="99"/>
    <n v="2"/>
    <n v="1"/>
    <x v="2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m/>
    <m/>
    <m/>
    <m/>
  </r>
  <r>
    <n v="48"/>
    <s v="No"/>
    <s v="Travel_Rarely"/>
    <n v="163"/>
    <s v="Sales"/>
    <n v="2"/>
    <n v="5"/>
    <s v="Marketing"/>
    <n v="1"/>
    <n v="595"/>
    <n v="2"/>
    <s v="Female"/>
    <n v="37"/>
    <n v="3"/>
    <n v="2"/>
    <x v="0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m/>
    <m/>
    <m/>
    <m/>
  </r>
  <r>
    <n v="55"/>
    <s v="No"/>
    <s v="Travel_Rarely"/>
    <n v="1117"/>
    <s v="Sales"/>
    <n v="18"/>
    <n v="5"/>
    <s v="Life Sciences"/>
    <n v="1"/>
    <n v="597"/>
    <n v="1"/>
    <s v="Female"/>
    <n v="83"/>
    <n v="3"/>
    <n v="4"/>
    <x v="5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m/>
    <m/>
    <m/>
    <m/>
  </r>
  <r>
    <n v="41"/>
    <s v="No"/>
    <s v="Non-Travel"/>
    <n v="267"/>
    <s v="Sales"/>
    <n v="10"/>
    <n v="2"/>
    <s v="Life Sciences"/>
    <n v="1"/>
    <n v="599"/>
    <n v="4"/>
    <s v="Male"/>
    <n v="56"/>
    <n v="3"/>
    <n v="2"/>
    <x v="0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m/>
    <m/>
    <m/>
    <m/>
  </r>
  <r>
    <n v="35"/>
    <s v="No"/>
    <s v="Travel_Rarely"/>
    <n v="619"/>
    <s v="Sales"/>
    <n v="1"/>
    <n v="3"/>
    <s v="Marketing"/>
    <n v="1"/>
    <n v="600"/>
    <n v="2"/>
    <s v="Male"/>
    <n v="85"/>
    <n v="3"/>
    <n v="2"/>
    <x v="0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m/>
    <m/>
    <m/>
    <m/>
  </r>
  <r>
    <n v="40"/>
    <s v="No"/>
    <s v="Travel_Rarely"/>
    <n v="302"/>
    <s v="Research &amp; Development"/>
    <n v="6"/>
    <n v="3"/>
    <s v="Life Sciences"/>
    <n v="1"/>
    <n v="601"/>
    <n v="2"/>
    <s v="Female"/>
    <n v="75"/>
    <n v="3"/>
    <n v="4"/>
    <x v="3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m/>
    <m/>
    <m/>
    <m/>
  </r>
  <r>
    <n v="39"/>
    <s v="No"/>
    <s v="Travel_Frequently"/>
    <n v="443"/>
    <s v="Research &amp; Development"/>
    <n v="8"/>
    <n v="1"/>
    <s v="Life Sciences"/>
    <n v="1"/>
    <n v="602"/>
    <n v="3"/>
    <s v="Female"/>
    <n v="48"/>
    <n v="3"/>
    <n v="1"/>
    <x v="2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m/>
    <m/>
    <m/>
    <m/>
  </r>
  <r>
    <n v="31"/>
    <s v="No"/>
    <s v="Travel_Rarely"/>
    <n v="828"/>
    <s v="Sales"/>
    <n v="2"/>
    <n v="1"/>
    <s v="Life Sciences"/>
    <n v="1"/>
    <n v="604"/>
    <n v="2"/>
    <s v="Male"/>
    <n v="77"/>
    <n v="3"/>
    <n v="2"/>
    <x v="0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m/>
    <m/>
    <m/>
    <m/>
  </r>
  <r>
    <n v="42"/>
    <s v="No"/>
    <s v="Travel_Rarely"/>
    <n v="319"/>
    <s v="Research &amp; Development"/>
    <n v="24"/>
    <n v="3"/>
    <s v="Medical"/>
    <n v="1"/>
    <n v="605"/>
    <n v="4"/>
    <s v="Male"/>
    <n v="56"/>
    <n v="3"/>
    <n v="3"/>
    <x v="3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m/>
    <m/>
    <m/>
    <m/>
  </r>
  <r>
    <n v="45"/>
    <s v="No"/>
    <s v="Travel_Rarely"/>
    <n v="561"/>
    <s v="Sales"/>
    <n v="2"/>
    <n v="3"/>
    <s v="Other"/>
    <n v="1"/>
    <n v="606"/>
    <n v="4"/>
    <s v="Male"/>
    <n v="61"/>
    <n v="3"/>
    <n v="2"/>
    <x v="0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m/>
    <m/>
    <m/>
    <m/>
  </r>
  <r>
    <n v="26"/>
    <s v="Yes"/>
    <s v="Travel_Frequently"/>
    <n v="426"/>
    <s v="Human Resources"/>
    <n v="17"/>
    <n v="4"/>
    <s v="Life Sciences"/>
    <n v="1"/>
    <n v="608"/>
    <n v="2"/>
    <s v="Female"/>
    <n v="58"/>
    <n v="3"/>
    <n v="1"/>
    <x v="8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m/>
    <m/>
    <m/>
    <m/>
  </r>
  <r>
    <n v="29"/>
    <s v="No"/>
    <s v="Travel_Rarely"/>
    <n v="232"/>
    <s v="Research &amp; Development"/>
    <n v="19"/>
    <n v="3"/>
    <s v="Technical Degree"/>
    <n v="1"/>
    <n v="611"/>
    <n v="4"/>
    <s v="Male"/>
    <n v="34"/>
    <n v="3"/>
    <n v="2"/>
    <x v="3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m/>
    <m/>
    <m/>
    <m/>
  </r>
  <r>
    <n v="33"/>
    <s v="No"/>
    <s v="Travel_Rarely"/>
    <n v="922"/>
    <s v="Research &amp; Development"/>
    <n v="1"/>
    <n v="5"/>
    <s v="Medical"/>
    <n v="1"/>
    <n v="612"/>
    <n v="1"/>
    <s v="Female"/>
    <n v="95"/>
    <n v="4"/>
    <n v="4"/>
    <x v="7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m/>
    <m/>
    <m/>
    <m/>
  </r>
  <r>
    <n v="31"/>
    <s v="No"/>
    <s v="Travel_Rarely"/>
    <n v="688"/>
    <s v="Sales"/>
    <n v="7"/>
    <n v="3"/>
    <s v="Life Sciences"/>
    <n v="1"/>
    <n v="613"/>
    <n v="3"/>
    <s v="Male"/>
    <n v="44"/>
    <n v="2"/>
    <n v="3"/>
    <x v="5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m/>
    <m/>
    <m/>
    <m/>
  </r>
  <r>
    <n v="18"/>
    <s v="Yes"/>
    <s v="Travel_Frequently"/>
    <n v="1306"/>
    <s v="Sales"/>
    <n v="5"/>
    <n v="3"/>
    <s v="Marketing"/>
    <n v="1"/>
    <n v="614"/>
    <n v="2"/>
    <s v="Male"/>
    <n v="69"/>
    <n v="3"/>
    <n v="1"/>
    <x v="6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m/>
    <m/>
    <m/>
    <m/>
  </r>
  <r>
    <n v="40"/>
    <s v="No"/>
    <s v="Non-Travel"/>
    <n v="1094"/>
    <s v="Sales"/>
    <n v="28"/>
    <n v="3"/>
    <s v="Other"/>
    <n v="1"/>
    <n v="615"/>
    <n v="3"/>
    <s v="Male"/>
    <n v="58"/>
    <n v="1"/>
    <n v="3"/>
    <x v="0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m/>
    <m/>
    <m/>
    <m/>
  </r>
  <r>
    <n v="41"/>
    <s v="No"/>
    <s v="Non-Travel"/>
    <n v="509"/>
    <s v="Research &amp; Development"/>
    <n v="2"/>
    <n v="4"/>
    <s v="Other"/>
    <n v="1"/>
    <n v="616"/>
    <n v="1"/>
    <s v="Female"/>
    <n v="62"/>
    <n v="2"/>
    <n v="2"/>
    <x v="4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m/>
    <m/>
    <m/>
    <m/>
  </r>
  <r>
    <n v="26"/>
    <s v="No"/>
    <s v="Travel_Rarely"/>
    <n v="775"/>
    <s v="Sales"/>
    <n v="29"/>
    <n v="2"/>
    <s v="Medical"/>
    <n v="1"/>
    <n v="618"/>
    <n v="1"/>
    <s v="Male"/>
    <n v="45"/>
    <n v="3"/>
    <n v="2"/>
    <x v="0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m/>
    <m/>
    <m/>
    <m/>
  </r>
  <r>
    <n v="35"/>
    <s v="No"/>
    <s v="Travel_Rarely"/>
    <n v="195"/>
    <s v="Sales"/>
    <n v="1"/>
    <n v="3"/>
    <s v="Medical"/>
    <n v="1"/>
    <n v="620"/>
    <n v="1"/>
    <s v="Female"/>
    <n v="80"/>
    <n v="3"/>
    <n v="2"/>
    <x v="0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m/>
    <m/>
    <m/>
    <m/>
  </r>
  <r>
    <n v="34"/>
    <s v="No"/>
    <s v="Travel_Rarely"/>
    <n v="258"/>
    <s v="Sales"/>
    <n v="21"/>
    <n v="4"/>
    <s v="Life Sciences"/>
    <n v="1"/>
    <n v="621"/>
    <n v="4"/>
    <s v="Male"/>
    <n v="74"/>
    <n v="4"/>
    <n v="2"/>
    <x v="0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m/>
    <m/>
    <m/>
    <m/>
  </r>
  <r>
    <n v="26"/>
    <s v="Yes"/>
    <s v="Travel_Rarely"/>
    <n v="471"/>
    <s v="Research &amp; Development"/>
    <n v="24"/>
    <n v="3"/>
    <s v="Technical Degree"/>
    <n v="1"/>
    <n v="622"/>
    <n v="3"/>
    <s v="Male"/>
    <n v="66"/>
    <n v="1"/>
    <n v="1"/>
    <x v="2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m/>
    <m/>
    <m/>
    <m/>
  </r>
  <r>
    <n v="37"/>
    <s v="No"/>
    <s v="Travel_Rarely"/>
    <n v="799"/>
    <s v="Research &amp; Development"/>
    <n v="1"/>
    <n v="3"/>
    <s v="Technical Degree"/>
    <n v="1"/>
    <n v="623"/>
    <n v="2"/>
    <s v="Female"/>
    <n v="59"/>
    <n v="3"/>
    <n v="3"/>
    <x v="3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m/>
    <m/>
    <m/>
    <m/>
  </r>
  <r>
    <n v="46"/>
    <s v="No"/>
    <s v="Travel_Frequently"/>
    <n v="1034"/>
    <s v="Research &amp; Development"/>
    <n v="18"/>
    <n v="1"/>
    <s v="Medical"/>
    <n v="1"/>
    <n v="624"/>
    <n v="1"/>
    <s v="Female"/>
    <n v="86"/>
    <n v="3"/>
    <n v="3"/>
    <x v="4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m/>
    <m/>
    <m/>
    <m/>
  </r>
  <r>
    <n v="41"/>
    <s v="No"/>
    <s v="Travel_Rarely"/>
    <n v="1276"/>
    <s v="Sales"/>
    <n v="2"/>
    <n v="5"/>
    <s v="Life Sciences"/>
    <n v="1"/>
    <n v="625"/>
    <n v="2"/>
    <s v="Female"/>
    <n v="91"/>
    <n v="3"/>
    <n v="4"/>
    <x v="5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m/>
    <m/>
    <m/>
    <m/>
  </r>
  <r>
    <n v="37"/>
    <s v="No"/>
    <s v="Non-Travel"/>
    <n v="142"/>
    <s v="Sales"/>
    <n v="9"/>
    <n v="4"/>
    <s v="Medical"/>
    <n v="1"/>
    <n v="626"/>
    <n v="1"/>
    <s v="Male"/>
    <n v="69"/>
    <n v="3"/>
    <n v="3"/>
    <x v="0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m/>
    <m/>
    <m/>
    <m/>
  </r>
  <r>
    <n v="52"/>
    <s v="No"/>
    <s v="Travel_Rarely"/>
    <n v="956"/>
    <s v="Research &amp; Development"/>
    <n v="6"/>
    <n v="2"/>
    <s v="Technical Degree"/>
    <n v="1"/>
    <n v="630"/>
    <n v="4"/>
    <s v="Male"/>
    <n v="78"/>
    <n v="3"/>
    <n v="2"/>
    <x v="1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m/>
    <m/>
    <m/>
    <m/>
  </r>
  <r>
    <n v="32"/>
    <s v="Yes"/>
    <s v="Non-Travel"/>
    <n v="1474"/>
    <s v="Sales"/>
    <n v="11"/>
    <n v="4"/>
    <s v="Other"/>
    <n v="1"/>
    <n v="631"/>
    <n v="4"/>
    <s v="Male"/>
    <n v="60"/>
    <n v="4"/>
    <n v="2"/>
    <x v="0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m/>
    <m/>
    <m/>
    <m/>
  </r>
  <r>
    <n v="24"/>
    <s v="No"/>
    <s v="Travel_Frequently"/>
    <n v="535"/>
    <s v="Sales"/>
    <n v="24"/>
    <n v="3"/>
    <s v="Medical"/>
    <n v="1"/>
    <n v="632"/>
    <n v="4"/>
    <s v="Male"/>
    <n v="38"/>
    <n v="3"/>
    <n v="1"/>
    <x v="6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m/>
    <m/>
    <m/>
    <m/>
  </r>
  <r>
    <n v="38"/>
    <s v="No"/>
    <s v="Travel_Rarely"/>
    <n v="1495"/>
    <s v="Research &amp; Development"/>
    <n v="10"/>
    <n v="3"/>
    <s v="Medical"/>
    <n v="1"/>
    <n v="634"/>
    <n v="3"/>
    <s v="Female"/>
    <n v="76"/>
    <n v="3"/>
    <n v="2"/>
    <x v="4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m/>
    <m/>
    <m/>
    <m/>
  </r>
  <r>
    <n v="37"/>
    <s v="No"/>
    <s v="Travel_Rarely"/>
    <n v="446"/>
    <s v="Research &amp; Development"/>
    <n v="1"/>
    <n v="4"/>
    <s v="Life Sciences"/>
    <n v="1"/>
    <n v="635"/>
    <n v="2"/>
    <s v="Female"/>
    <n v="65"/>
    <n v="3"/>
    <n v="2"/>
    <x v="3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m/>
    <m/>
    <m/>
    <m/>
  </r>
  <r>
    <n v="49"/>
    <s v="No"/>
    <s v="Travel_Rarely"/>
    <n v="1245"/>
    <s v="Research &amp; Development"/>
    <n v="18"/>
    <n v="4"/>
    <s v="Life Sciences"/>
    <n v="1"/>
    <n v="638"/>
    <n v="4"/>
    <s v="Male"/>
    <n v="58"/>
    <n v="2"/>
    <n v="5"/>
    <x v="7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m/>
    <m/>
    <m/>
    <m/>
  </r>
  <r>
    <n v="24"/>
    <s v="No"/>
    <s v="Travel_Rarely"/>
    <n v="691"/>
    <s v="Research &amp; Development"/>
    <n v="23"/>
    <n v="3"/>
    <s v="Medical"/>
    <n v="1"/>
    <n v="639"/>
    <n v="2"/>
    <s v="Male"/>
    <n v="89"/>
    <n v="4"/>
    <n v="1"/>
    <x v="1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m/>
    <m/>
    <m/>
    <m/>
  </r>
  <r>
    <n v="26"/>
    <s v="No"/>
    <s v="Travel_Rarely"/>
    <n v="703"/>
    <s v="Sales"/>
    <n v="28"/>
    <n v="2"/>
    <s v="Marketing"/>
    <n v="1"/>
    <n v="641"/>
    <n v="1"/>
    <s v="Male"/>
    <n v="66"/>
    <n v="3"/>
    <n v="2"/>
    <x v="0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m/>
    <m/>
    <m/>
    <m/>
  </r>
  <r>
    <n v="24"/>
    <s v="No"/>
    <s v="Travel_Rarely"/>
    <n v="823"/>
    <s v="Research &amp; Development"/>
    <n v="17"/>
    <n v="2"/>
    <s v="Other"/>
    <n v="1"/>
    <n v="643"/>
    <n v="4"/>
    <s v="Male"/>
    <n v="94"/>
    <n v="2"/>
    <n v="1"/>
    <x v="2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m/>
    <m/>
    <m/>
    <m/>
  </r>
  <r>
    <n v="50"/>
    <s v="No"/>
    <s v="Travel_Frequently"/>
    <n v="1246"/>
    <s v="Human Resources"/>
    <n v="3"/>
    <n v="3"/>
    <s v="Medical"/>
    <n v="1"/>
    <n v="644"/>
    <n v="1"/>
    <s v="Male"/>
    <n v="99"/>
    <n v="3"/>
    <n v="5"/>
    <x v="5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m/>
    <m/>
    <m/>
    <m/>
  </r>
  <r>
    <n v="25"/>
    <s v="No"/>
    <s v="Travel_Rarely"/>
    <n v="622"/>
    <s v="Sales"/>
    <n v="13"/>
    <n v="1"/>
    <s v="Medical"/>
    <n v="1"/>
    <n v="645"/>
    <n v="2"/>
    <s v="Male"/>
    <n v="40"/>
    <n v="3"/>
    <n v="1"/>
    <x v="6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m/>
    <m/>
    <m/>
    <m/>
  </r>
  <r>
    <n v="24"/>
    <s v="Yes"/>
    <s v="Travel_Frequently"/>
    <n v="1287"/>
    <s v="Research &amp; Development"/>
    <n v="7"/>
    <n v="3"/>
    <s v="Life Sciences"/>
    <n v="1"/>
    <n v="647"/>
    <n v="1"/>
    <s v="Female"/>
    <n v="55"/>
    <n v="3"/>
    <n v="1"/>
    <x v="2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m/>
    <m/>
    <m/>
    <m/>
  </r>
  <r>
    <n v="30"/>
    <s v="Yes"/>
    <s v="Travel_Frequently"/>
    <n v="448"/>
    <s v="Sales"/>
    <n v="12"/>
    <n v="4"/>
    <s v="Life Sciences"/>
    <n v="1"/>
    <n v="648"/>
    <n v="2"/>
    <s v="Male"/>
    <n v="74"/>
    <n v="2"/>
    <n v="1"/>
    <x v="6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m/>
    <m/>
    <m/>
    <m/>
  </r>
  <r>
    <n v="34"/>
    <s v="No"/>
    <s v="Travel_Rarely"/>
    <n v="254"/>
    <s v="Research &amp; Development"/>
    <n v="1"/>
    <n v="2"/>
    <s v="Life Sciences"/>
    <n v="1"/>
    <n v="649"/>
    <n v="2"/>
    <s v="Male"/>
    <n v="83"/>
    <n v="2"/>
    <n v="1"/>
    <x v="1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m/>
    <m/>
    <m/>
    <m/>
  </r>
  <r>
    <n v="31"/>
    <s v="Yes"/>
    <s v="Travel_Rarely"/>
    <n v="1365"/>
    <s v="Sales"/>
    <n v="13"/>
    <n v="4"/>
    <s v="Medical"/>
    <n v="1"/>
    <n v="650"/>
    <n v="2"/>
    <s v="Male"/>
    <n v="46"/>
    <n v="3"/>
    <n v="2"/>
    <x v="0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m/>
    <m/>
    <m/>
    <m/>
  </r>
  <r>
    <n v="35"/>
    <s v="No"/>
    <s v="Travel_Rarely"/>
    <n v="538"/>
    <s v="Research &amp; Development"/>
    <n v="25"/>
    <n v="2"/>
    <s v="Other"/>
    <n v="1"/>
    <n v="652"/>
    <n v="1"/>
    <s v="Male"/>
    <n v="54"/>
    <n v="2"/>
    <n v="2"/>
    <x v="2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m/>
    <m/>
    <m/>
    <m/>
  </r>
  <r>
    <n v="31"/>
    <s v="No"/>
    <s v="Travel_Rarely"/>
    <n v="525"/>
    <s v="Sales"/>
    <n v="6"/>
    <n v="4"/>
    <s v="Medical"/>
    <n v="1"/>
    <n v="653"/>
    <n v="1"/>
    <s v="Male"/>
    <n v="66"/>
    <n v="4"/>
    <n v="2"/>
    <x v="0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m/>
    <m/>
    <m/>
    <m/>
  </r>
  <r>
    <n v="27"/>
    <s v="No"/>
    <s v="Travel_Rarely"/>
    <n v="798"/>
    <s v="Research &amp; Development"/>
    <n v="6"/>
    <n v="4"/>
    <s v="Medical"/>
    <n v="1"/>
    <n v="655"/>
    <n v="1"/>
    <s v="Female"/>
    <n v="66"/>
    <n v="2"/>
    <n v="1"/>
    <x v="1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m/>
    <m/>
    <m/>
    <m/>
  </r>
  <r>
    <n v="37"/>
    <s v="No"/>
    <s v="Travel_Rarely"/>
    <n v="558"/>
    <s v="Sales"/>
    <n v="2"/>
    <n v="3"/>
    <s v="Marketing"/>
    <n v="1"/>
    <n v="656"/>
    <n v="4"/>
    <s v="Male"/>
    <n v="75"/>
    <n v="3"/>
    <n v="2"/>
    <x v="0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m/>
    <m/>
    <m/>
    <m/>
  </r>
  <r>
    <n v="20"/>
    <s v="No"/>
    <s v="Travel_Rarely"/>
    <n v="959"/>
    <s v="Research &amp; Development"/>
    <n v="1"/>
    <n v="3"/>
    <s v="Life Sciences"/>
    <n v="1"/>
    <n v="657"/>
    <n v="4"/>
    <s v="Female"/>
    <n v="83"/>
    <n v="2"/>
    <n v="1"/>
    <x v="1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m/>
    <m/>
    <m/>
    <m/>
  </r>
  <r>
    <n v="42"/>
    <s v="No"/>
    <s v="Travel_Rarely"/>
    <n v="622"/>
    <s v="Research &amp; Development"/>
    <n v="2"/>
    <n v="4"/>
    <s v="Life Sciences"/>
    <n v="1"/>
    <n v="659"/>
    <n v="3"/>
    <s v="Female"/>
    <n v="81"/>
    <n v="3"/>
    <n v="2"/>
    <x v="4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m/>
    <m/>
    <m/>
    <m/>
  </r>
  <r>
    <n v="43"/>
    <s v="No"/>
    <s v="Travel_Rarely"/>
    <n v="782"/>
    <s v="Research &amp; Development"/>
    <n v="6"/>
    <n v="4"/>
    <s v="Other"/>
    <n v="1"/>
    <n v="661"/>
    <n v="2"/>
    <s v="Male"/>
    <n v="50"/>
    <n v="2"/>
    <n v="4"/>
    <x v="7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m/>
    <m/>
    <m/>
    <m/>
  </r>
  <r>
    <n v="38"/>
    <s v="No"/>
    <s v="Travel_Rarely"/>
    <n v="362"/>
    <s v="Research &amp; Development"/>
    <n v="1"/>
    <n v="1"/>
    <s v="Life Sciences"/>
    <n v="1"/>
    <n v="662"/>
    <n v="3"/>
    <s v="Female"/>
    <n v="43"/>
    <n v="3"/>
    <n v="1"/>
    <x v="1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m/>
    <m/>
    <m/>
    <m/>
  </r>
  <r>
    <n v="43"/>
    <s v="No"/>
    <s v="Travel_Frequently"/>
    <n v="1001"/>
    <s v="Research &amp; Development"/>
    <n v="9"/>
    <n v="5"/>
    <s v="Medical"/>
    <n v="1"/>
    <n v="663"/>
    <n v="4"/>
    <s v="Male"/>
    <n v="72"/>
    <n v="3"/>
    <n v="2"/>
    <x v="2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m/>
    <m/>
    <m/>
    <m/>
  </r>
  <r>
    <n v="48"/>
    <s v="No"/>
    <s v="Travel_Rarely"/>
    <n v="1236"/>
    <s v="Research &amp; Development"/>
    <n v="1"/>
    <n v="4"/>
    <s v="Life Sciences"/>
    <n v="1"/>
    <n v="664"/>
    <n v="4"/>
    <s v="Female"/>
    <n v="40"/>
    <n v="2"/>
    <n v="4"/>
    <x v="5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m/>
    <m/>
    <m/>
    <m/>
  </r>
  <r>
    <n v="44"/>
    <s v="No"/>
    <s v="Travel_Rarely"/>
    <n v="1112"/>
    <s v="Human Resources"/>
    <n v="1"/>
    <n v="4"/>
    <s v="Life Sciences"/>
    <n v="1"/>
    <n v="665"/>
    <n v="1"/>
    <s v="Female"/>
    <n v="50"/>
    <n v="2"/>
    <n v="2"/>
    <x v="8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m/>
    <m/>
    <m/>
    <m/>
  </r>
  <r>
    <n v="34"/>
    <s v="No"/>
    <s v="Travel_Rarely"/>
    <n v="204"/>
    <s v="Sales"/>
    <n v="14"/>
    <n v="3"/>
    <s v="Technical Degree"/>
    <n v="1"/>
    <n v="666"/>
    <n v="3"/>
    <s v="Female"/>
    <n v="31"/>
    <n v="3"/>
    <n v="1"/>
    <x v="6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m/>
    <m/>
    <m/>
    <m/>
  </r>
  <r>
    <n v="27"/>
    <s v="Yes"/>
    <s v="Travel_Rarely"/>
    <n v="1420"/>
    <s v="Sales"/>
    <n v="2"/>
    <n v="1"/>
    <s v="Marketing"/>
    <n v="1"/>
    <n v="667"/>
    <n v="3"/>
    <s v="Male"/>
    <n v="85"/>
    <n v="3"/>
    <n v="1"/>
    <x v="6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m/>
    <m/>
    <m/>
    <m/>
  </r>
  <r>
    <n v="21"/>
    <s v="No"/>
    <s v="Travel_Rarely"/>
    <n v="1343"/>
    <s v="Sales"/>
    <n v="22"/>
    <n v="1"/>
    <s v="Technical Degree"/>
    <n v="1"/>
    <n v="669"/>
    <n v="3"/>
    <s v="Male"/>
    <n v="49"/>
    <n v="3"/>
    <n v="1"/>
    <x v="6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m/>
    <m/>
    <m/>
    <m/>
  </r>
  <r>
    <n v="44"/>
    <s v="No"/>
    <s v="Travel_Rarely"/>
    <n v="1315"/>
    <s v="Research &amp; Development"/>
    <n v="3"/>
    <n v="4"/>
    <s v="Other"/>
    <n v="1"/>
    <n v="671"/>
    <n v="4"/>
    <s v="Male"/>
    <n v="35"/>
    <n v="3"/>
    <n v="5"/>
    <x v="5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m/>
    <m/>
    <m/>
    <m/>
  </r>
  <r>
    <n v="22"/>
    <s v="No"/>
    <s v="Travel_Rarely"/>
    <n v="604"/>
    <s v="Research &amp; Development"/>
    <n v="6"/>
    <n v="1"/>
    <s v="Medical"/>
    <n v="1"/>
    <n v="675"/>
    <n v="1"/>
    <s v="Male"/>
    <n v="69"/>
    <n v="3"/>
    <n v="1"/>
    <x v="1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m/>
    <m/>
    <m/>
    <m/>
  </r>
  <r>
    <n v="33"/>
    <s v="No"/>
    <s v="Travel_Rarely"/>
    <n v="1216"/>
    <s v="Sales"/>
    <n v="8"/>
    <n v="4"/>
    <s v="Marketing"/>
    <n v="1"/>
    <n v="677"/>
    <n v="3"/>
    <s v="Male"/>
    <n v="39"/>
    <n v="3"/>
    <n v="2"/>
    <x v="0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m/>
    <m/>
    <m/>
    <m/>
  </r>
  <r>
    <n v="32"/>
    <s v="No"/>
    <s v="Travel_Rarely"/>
    <n v="646"/>
    <s v="Research &amp; Development"/>
    <n v="9"/>
    <n v="4"/>
    <s v="Life Sciences"/>
    <n v="1"/>
    <n v="679"/>
    <n v="1"/>
    <s v="Female"/>
    <n v="92"/>
    <n v="3"/>
    <n v="2"/>
    <x v="1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m/>
    <m/>
    <m/>
    <m/>
  </r>
  <r>
    <n v="30"/>
    <s v="No"/>
    <s v="Travel_Frequently"/>
    <n v="160"/>
    <s v="Research &amp; Development"/>
    <n v="3"/>
    <n v="3"/>
    <s v="Medical"/>
    <n v="1"/>
    <n v="680"/>
    <n v="3"/>
    <s v="Female"/>
    <n v="71"/>
    <n v="3"/>
    <n v="1"/>
    <x v="1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m/>
    <m/>
    <m/>
    <m/>
  </r>
  <r>
    <n v="53"/>
    <s v="No"/>
    <s v="Travel_Rarely"/>
    <n v="238"/>
    <s v="Sales"/>
    <n v="1"/>
    <n v="1"/>
    <s v="Medical"/>
    <n v="1"/>
    <n v="682"/>
    <n v="4"/>
    <s v="Female"/>
    <n v="34"/>
    <n v="3"/>
    <n v="2"/>
    <x v="0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m/>
    <m/>
    <m/>
    <m/>
  </r>
  <r>
    <n v="34"/>
    <s v="No"/>
    <s v="Travel_Rarely"/>
    <n v="1397"/>
    <s v="Research &amp; Development"/>
    <n v="1"/>
    <n v="5"/>
    <s v="Life Sciences"/>
    <n v="1"/>
    <n v="683"/>
    <n v="2"/>
    <s v="Male"/>
    <n v="42"/>
    <n v="3"/>
    <n v="1"/>
    <x v="1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m/>
    <m/>
    <m/>
    <m/>
  </r>
  <r>
    <n v="45"/>
    <s v="Yes"/>
    <s v="Travel_Frequently"/>
    <n v="306"/>
    <s v="Sales"/>
    <n v="26"/>
    <n v="4"/>
    <s v="Life Sciences"/>
    <n v="1"/>
    <n v="684"/>
    <n v="1"/>
    <s v="Female"/>
    <n v="100"/>
    <n v="3"/>
    <n v="2"/>
    <x v="0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m/>
    <m/>
    <m/>
    <m/>
  </r>
  <r>
    <n v="26"/>
    <s v="No"/>
    <s v="Travel_Rarely"/>
    <n v="991"/>
    <s v="Research &amp; Development"/>
    <n v="6"/>
    <n v="3"/>
    <s v="Life Sciences"/>
    <n v="1"/>
    <n v="686"/>
    <n v="3"/>
    <s v="Female"/>
    <n v="71"/>
    <n v="3"/>
    <n v="1"/>
    <x v="2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m/>
    <m/>
    <m/>
    <m/>
  </r>
  <r>
    <n v="37"/>
    <s v="No"/>
    <s v="Travel_Rarely"/>
    <n v="482"/>
    <s v="Research &amp; Development"/>
    <n v="3"/>
    <n v="3"/>
    <s v="Other"/>
    <n v="1"/>
    <n v="689"/>
    <n v="3"/>
    <s v="Male"/>
    <n v="36"/>
    <n v="3"/>
    <n v="3"/>
    <x v="3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m/>
    <m/>
    <m/>
    <m/>
  </r>
  <r>
    <n v="29"/>
    <s v="No"/>
    <s v="Travel_Rarely"/>
    <n v="1176"/>
    <s v="Sales"/>
    <n v="3"/>
    <n v="2"/>
    <s v="Medical"/>
    <n v="1"/>
    <n v="690"/>
    <n v="2"/>
    <s v="Female"/>
    <n v="62"/>
    <n v="3"/>
    <n v="2"/>
    <x v="0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m/>
    <m/>
    <m/>
    <m/>
  </r>
  <r>
    <n v="35"/>
    <s v="No"/>
    <s v="Travel_Rarely"/>
    <n v="1017"/>
    <s v="Research &amp; Development"/>
    <n v="6"/>
    <n v="4"/>
    <s v="Life Sciences"/>
    <n v="1"/>
    <n v="691"/>
    <n v="2"/>
    <s v="Male"/>
    <n v="82"/>
    <n v="1"/>
    <n v="2"/>
    <x v="1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m/>
    <m/>
    <m/>
    <m/>
  </r>
  <r>
    <n v="33"/>
    <s v="No"/>
    <s v="Travel_Frequently"/>
    <n v="1296"/>
    <s v="Research &amp; Development"/>
    <n v="6"/>
    <n v="3"/>
    <s v="Life Sciences"/>
    <n v="1"/>
    <n v="692"/>
    <n v="3"/>
    <s v="Male"/>
    <n v="30"/>
    <n v="3"/>
    <n v="2"/>
    <x v="4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m/>
    <m/>
    <m/>
    <m/>
  </r>
  <r>
    <n v="54"/>
    <s v="No"/>
    <s v="Travel_Rarely"/>
    <n v="397"/>
    <s v="Human Resources"/>
    <n v="19"/>
    <n v="4"/>
    <s v="Medical"/>
    <n v="1"/>
    <n v="698"/>
    <n v="3"/>
    <s v="Male"/>
    <n v="88"/>
    <n v="3"/>
    <n v="3"/>
    <x v="8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m/>
    <m/>
    <m/>
    <m/>
  </r>
  <r>
    <n v="36"/>
    <s v="No"/>
    <s v="Travel_Rarely"/>
    <n v="913"/>
    <s v="Research &amp; Development"/>
    <n v="9"/>
    <n v="2"/>
    <s v="Medical"/>
    <n v="1"/>
    <n v="699"/>
    <n v="2"/>
    <s v="Male"/>
    <n v="48"/>
    <n v="2"/>
    <n v="2"/>
    <x v="3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m/>
    <m/>
    <m/>
    <m/>
  </r>
  <r>
    <n v="27"/>
    <s v="No"/>
    <s v="Travel_Rarely"/>
    <n v="1115"/>
    <s v="Research &amp; Development"/>
    <n v="3"/>
    <n v="4"/>
    <s v="Medical"/>
    <n v="1"/>
    <n v="700"/>
    <n v="1"/>
    <s v="Male"/>
    <n v="54"/>
    <n v="2"/>
    <n v="1"/>
    <x v="1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m/>
    <m/>
    <m/>
    <m/>
  </r>
  <r>
    <n v="20"/>
    <s v="Yes"/>
    <s v="Travel_Rarely"/>
    <n v="1362"/>
    <s v="Research &amp; Development"/>
    <n v="10"/>
    <n v="1"/>
    <s v="Medical"/>
    <n v="1"/>
    <n v="701"/>
    <n v="4"/>
    <s v="Male"/>
    <n v="32"/>
    <n v="3"/>
    <n v="1"/>
    <x v="1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m/>
    <m/>
    <m/>
    <m/>
  </r>
  <r>
    <n v="33"/>
    <s v="Yes"/>
    <s v="Travel_Frequently"/>
    <n v="1076"/>
    <s v="Research &amp; Development"/>
    <n v="3"/>
    <n v="3"/>
    <s v="Life Sciences"/>
    <n v="1"/>
    <n v="702"/>
    <n v="1"/>
    <s v="Male"/>
    <n v="70"/>
    <n v="3"/>
    <n v="1"/>
    <x v="1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m/>
    <m/>
    <m/>
    <m/>
  </r>
  <r>
    <n v="35"/>
    <s v="No"/>
    <s v="Non-Travel"/>
    <n v="727"/>
    <s v="Research &amp; Development"/>
    <n v="3"/>
    <n v="3"/>
    <s v="Life Sciences"/>
    <n v="1"/>
    <n v="704"/>
    <n v="3"/>
    <s v="Male"/>
    <n v="41"/>
    <n v="2"/>
    <n v="1"/>
    <x v="2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m/>
    <m/>
    <m/>
    <m/>
  </r>
  <r>
    <n v="23"/>
    <s v="No"/>
    <s v="Travel_Rarely"/>
    <n v="885"/>
    <s v="Research &amp; Development"/>
    <n v="4"/>
    <n v="3"/>
    <s v="Medical"/>
    <n v="1"/>
    <n v="705"/>
    <n v="1"/>
    <s v="Male"/>
    <n v="58"/>
    <n v="4"/>
    <n v="1"/>
    <x v="1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m/>
    <m/>
    <m/>
    <m/>
  </r>
  <r>
    <n v="25"/>
    <s v="No"/>
    <s v="Travel_Rarely"/>
    <n v="810"/>
    <s v="Sales"/>
    <n v="8"/>
    <n v="3"/>
    <s v="Life Sciences"/>
    <n v="1"/>
    <n v="707"/>
    <n v="4"/>
    <s v="Male"/>
    <n v="57"/>
    <n v="4"/>
    <n v="2"/>
    <x v="0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m/>
    <m/>
    <m/>
    <m/>
  </r>
  <r>
    <n v="38"/>
    <s v="No"/>
    <s v="Travel_Rarely"/>
    <n v="243"/>
    <s v="Sales"/>
    <n v="7"/>
    <n v="4"/>
    <s v="Marketing"/>
    <n v="1"/>
    <n v="709"/>
    <n v="4"/>
    <s v="Female"/>
    <n v="46"/>
    <n v="2"/>
    <n v="2"/>
    <x v="0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m/>
    <m/>
    <m/>
    <m/>
  </r>
  <r>
    <n v="29"/>
    <s v="No"/>
    <s v="Travel_Frequently"/>
    <n v="806"/>
    <s v="Research &amp; Development"/>
    <n v="1"/>
    <n v="4"/>
    <s v="Life Sciences"/>
    <n v="1"/>
    <n v="710"/>
    <n v="2"/>
    <s v="Male"/>
    <n v="76"/>
    <n v="1"/>
    <n v="1"/>
    <x v="1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m/>
    <m/>
    <m/>
    <m/>
  </r>
  <r>
    <n v="48"/>
    <s v="No"/>
    <s v="Travel_Rarely"/>
    <n v="817"/>
    <s v="Sales"/>
    <n v="2"/>
    <n v="1"/>
    <s v="Marketing"/>
    <n v="1"/>
    <n v="712"/>
    <n v="2"/>
    <s v="Male"/>
    <n v="56"/>
    <n v="4"/>
    <n v="2"/>
    <x v="0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m/>
    <m/>
    <m/>
    <m/>
  </r>
  <r>
    <n v="27"/>
    <s v="No"/>
    <s v="Travel_Frequently"/>
    <n v="1410"/>
    <s v="Sales"/>
    <n v="3"/>
    <n v="1"/>
    <s v="Medical"/>
    <n v="1"/>
    <n v="714"/>
    <n v="4"/>
    <s v="Female"/>
    <n v="71"/>
    <n v="4"/>
    <n v="2"/>
    <x v="0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m/>
    <m/>
    <m/>
    <m/>
  </r>
  <r>
    <n v="37"/>
    <s v="No"/>
    <s v="Travel_Rarely"/>
    <n v="1225"/>
    <s v="Research &amp; Development"/>
    <n v="10"/>
    <n v="2"/>
    <s v="Life Sciences"/>
    <n v="1"/>
    <n v="715"/>
    <n v="4"/>
    <s v="Male"/>
    <n v="80"/>
    <n v="4"/>
    <n v="1"/>
    <x v="1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m/>
    <m/>
    <m/>
    <m/>
  </r>
  <r>
    <n v="50"/>
    <s v="No"/>
    <s v="Travel_Rarely"/>
    <n v="1207"/>
    <s v="Research &amp; Development"/>
    <n v="28"/>
    <n v="1"/>
    <s v="Medical"/>
    <n v="1"/>
    <n v="716"/>
    <n v="4"/>
    <s v="Male"/>
    <n v="74"/>
    <n v="4"/>
    <n v="1"/>
    <x v="2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m/>
    <m/>
    <m/>
    <m/>
  </r>
  <r>
    <n v="34"/>
    <s v="No"/>
    <s v="Travel_Rarely"/>
    <n v="1442"/>
    <s v="Research &amp; Development"/>
    <n v="9"/>
    <n v="3"/>
    <s v="Medical"/>
    <n v="1"/>
    <n v="717"/>
    <n v="4"/>
    <s v="Female"/>
    <n v="46"/>
    <n v="2"/>
    <n v="3"/>
    <x v="4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m/>
    <m/>
    <m/>
    <m/>
  </r>
  <r>
    <n v="24"/>
    <s v="Yes"/>
    <s v="Travel_Rarely"/>
    <n v="693"/>
    <s v="Sales"/>
    <n v="3"/>
    <n v="2"/>
    <s v="Life Sciences"/>
    <n v="1"/>
    <n v="720"/>
    <n v="1"/>
    <s v="Female"/>
    <n v="65"/>
    <n v="3"/>
    <n v="2"/>
    <x v="0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m/>
    <m/>
    <m/>
    <m/>
  </r>
  <r>
    <n v="39"/>
    <s v="No"/>
    <s v="Travel_Rarely"/>
    <n v="408"/>
    <s v="Research &amp; Development"/>
    <n v="2"/>
    <n v="4"/>
    <s v="Technical Degree"/>
    <n v="1"/>
    <n v="721"/>
    <n v="4"/>
    <s v="Female"/>
    <n v="80"/>
    <n v="2"/>
    <n v="2"/>
    <x v="4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m/>
    <m/>
    <m/>
    <m/>
  </r>
  <r>
    <n v="32"/>
    <s v="No"/>
    <s v="Travel_Rarely"/>
    <n v="929"/>
    <s v="Sales"/>
    <n v="10"/>
    <n v="3"/>
    <s v="Marketing"/>
    <n v="1"/>
    <n v="722"/>
    <n v="4"/>
    <s v="Male"/>
    <n v="55"/>
    <n v="3"/>
    <n v="2"/>
    <x v="0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m/>
    <m/>
    <m/>
    <m/>
  </r>
  <r>
    <n v="50"/>
    <s v="Yes"/>
    <s v="Travel_Frequently"/>
    <n v="562"/>
    <s v="Sales"/>
    <n v="8"/>
    <n v="2"/>
    <s v="Technical Degree"/>
    <n v="1"/>
    <n v="723"/>
    <n v="2"/>
    <s v="Male"/>
    <n v="50"/>
    <n v="3"/>
    <n v="2"/>
    <x v="0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m/>
    <m/>
    <m/>
    <m/>
  </r>
  <r>
    <n v="38"/>
    <s v="No"/>
    <s v="Travel_Rarely"/>
    <n v="827"/>
    <s v="Research &amp; Development"/>
    <n v="1"/>
    <n v="4"/>
    <s v="Life Sciences"/>
    <n v="1"/>
    <n v="724"/>
    <n v="2"/>
    <s v="Female"/>
    <n v="33"/>
    <n v="4"/>
    <n v="2"/>
    <x v="4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m/>
    <m/>
    <m/>
    <m/>
  </r>
  <r>
    <n v="27"/>
    <s v="No"/>
    <s v="Travel_Rarely"/>
    <n v="608"/>
    <s v="Research &amp; Development"/>
    <n v="1"/>
    <n v="2"/>
    <s v="Life Sciences"/>
    <n v="1"/>
    <n v="725"/>
    <n v="3"/>
    <s v="Female"/>
    <n v="68"/>
    <n v="3"/>
    <n v="3"/>
    <x v="3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m/>
    <m/>
    <m/>
    <m/>
  </r>
  <r>
    <n v="32"/>
    <s v="No"/>
    <s v="Travel_Rarely"/>
    <n v="1018"/>
    <s v="Research &amp; Development"/>
    <n v="3"/>
    <n v="2"/>
    <s v="Life Sciences"/>
    <n v="1"/>
    <n v="727"/>
    <n v="3"/>
    <s v="Female"/>
    <n v="39"/>
    <n v="3"/>
    <n v="3"/>
    <x v="7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m/>
    <m/>
    <m/>
    <m/>
  </r>
  <r>
    <n v="47"/>
    <s v="No"/>
    <s v="Travel_Rarely"/>
    <n v="703"/>
    <s v="Sales"/>
    <n v="14"/>
    <n v="4"/>
    <s v="Marketing"/>
    <n v="1"/>
    <n v="728"/>
    <n v="4"/>
    <s v="Male"/>
    <n v="42"/>
    <n v="3"/>
    <n v="2"/>
    <x v="0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m/>
    <m/>
    <m/>
    <m/>
  </r>
  <r>
    <n v="40"/>
    <s v="No"/>
    <s v="Travel_Frequently"/>
    <n v="580"/>
    <s v="Sales"/>
    <n v="5"/>
    <n v="4"/>
    <s v="Life Sciences"/>
    <n v="1"/>
    <n v="729"/>
    <n v="4"/>
    <s v="Male"/>
    <n v="48"/>
    <n v="2"/>
    <n v="3"/>
    <x v="0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m/>
    <m/>
    <m/>
    <m/>
  </r>
  <r>
    <n v="53"/>
    <s v="No"/>
    <s v="Travel_Rarely"/>
    <n v="970"/>
    <s v="Research &amp; Development"/>
    <n v="7"/>
    <n v="3"/>
    <s v="Life Sciences"/>
    <n v="1"/>
    <n v="730"/>
    <n v="3"/>
    <s v="Male"/>
    <n v="59"/>
    <n v="4"/>
    <n v="4"/>
    <x v="7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m/>
    <m/>
    <m/>
    <m/>
  </r>
  <r>
    <n v="41"/>
    <s v="No"/>
    <s v="Travel_Rarely"/>
    <n v="427"/>
    <s v="Human Resources"/>
    <n v="10"/>
    <n v="4"/>
    <s v="Human Resources"/>
    <n v="1"/>
    <n v="731"/>
    <n v="2"/>
    <s v="Male"/>
    <n v="73"/>
    <n v="2"/>
    <n v="5"/>
    <x v="5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m/>
    <m/>
    <m/>
    <m/>
  </r>
  <r>
    <n v="60"/>
    <s v="No"/>
    <s v="Travel_Rarely"/>
    <n v="1179"/>
    <s v="Sales"/>
    <n v="16"/>
    <n v="4"/>
    <s v="Marketing"/>
    <n v="1"/>
    <n v="732"/>
    <n v="1"/>
    <s v="Male"/>
    <n v="84"/>
    <n v="3"/>
    <n v="2"/>
    <x v="0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m/>
    <m/>
    <m/>
    <m/>
  </r>
  <r>
    <n v="27"/>
    <s v="No"/>
    <s v="Travel_Frequently"/>
    <n v="294"/>
    <s v="Research &amp; Development"/>
    <n v="10"/>
    <n v="2"/>
    <s v="Life Sciences"/>
    <n v="1"/>
    <n v="733"/>
    <n v="4"/>
    <s v="Male"/>
    <n v="32"/>
    <n v="3"/>
    <n v="3"/>
    <x v="3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m/>
    <m/>
    <m/>
    <m/>
  </r>
  <r>
    <n v="41"/>
    <s v="No"/>
    <s v="Travel_Rarely"/>
    <n v="314"/>
    <s v="Human Resources"/>
    <n v="1"/>
    <n v="3"/>
    <s v="Human Resources"/>
    <n v="1"/>
    <n v="734"/>
    <n v="4"/>
    <s v="Male"/>
    <n v="59"/>
    <n v="2"/>
    <n v="5"/>
    <x v="5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m/>
    <m/>
    <m/>
    <m/>
  </r>
  <r>
    <n v="50"/>
    <s v="No"/>
    <s v="Travel_Rarely"/>
    <n v="316"/>
    <s v="Sales"/>
    <n v="8"/>
    <n v="4"/>
    <s v="Marketing"/>
    <n v="1"/>
    <n v="738"/>
    <n v="4"/>
    <s v="Male"/>
    <n v="54"/>
    <n v="3"/>
    <n v="1"/>
    <x v="6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m/>
    <m/>
    <m/>
    <m/>
  </r>
  <r>
    <n v="28"/>
    <s v="Yes"/>
    <s v="Travel_Rarely"/>
    <n v="654"/>
    <s v="Research &amp; Development"/>
    <n v="1"/>
    <n v="2"/>
    <s v="Life Sciences"/>
    <n v="1"/>
    <n v="741"/>
    <n v="1"/>
    <s v="Female"/>
    <n v="67"/>
    <n v="1"/>
    <n v="1"/>
    <x v="1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m/>
    <m/>
    <m/>
    <m/>
  </r>
  <r>
    <n v="36"/>
    <s v="No"/>
    <s v="Non-Travel"/>
    <n v="427"/>
    <s v="Research &amp; Development"/>
    <n v="8"/>
    <n v="3"/>
    <s v="Life Sciences"/>
    <n v="1"/>
    <n v="742"/>
    <n v="1"/>
    <s v="Female"/>
    <n v="63"/>
    <n v="4"/>
    <n v="3"/>
    <x v="7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m/>
    <m/>
    <m/>
    <m/>
  </r>
  <r>
    <n v="38"/>
    <s v="No"/>
    <s v="Travel_Rarely"/>
    <n v="168"/>
    <s v="Research &amp; Development"/>
    <n v="1"/>
    <n v="3"/>
    <s v="Life Sciences"/>
    <n v="1"/>
    <n v="743"/>
    <n v="3"/>
    <s v="Female"/>
    <n v="81"/>
    <n v="3"/>
    <n v="3"/>
    <x v="3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m/>
    <m/>
    <m/>
    <m/>
  </r>
  <r>
    <n v="44"/>
    <s v="No"/>
    <s v="Non-Travel"/>
    <n v="381"/>
    <s v="Research &amp; Development"/>
    <n v="24"/>
    <n v="3"/>
    <s v="Medical"/>
    <n v="1"/>
    <n v="744"/>
    <n v="1"/>
    <s v="Male"/>
    <n v="49"/>
    <n v="1"/>
    <n v="1"/>
    <x v="2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m/>
    <m/>
    <m/>
    <m/>
  </r>
  <r>
    <n v="47"/>
    <s v="No"/>
    <s v="Travel_Frequently"/>
    <n v="217"/>
    <s v="Sales"/>
    <n v="3"/>
    <n v="3"/>
    <s v="Medical"/>
    <n v="1"/>
    <n v="746"/>
    <n v="4"/>
    <s v="Female"/>
    <n v="49"/>
    <n v="3"/>
    <n v="4"/>
    <x v="0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m/>
    <m/>
    <m/>
    <m/>
  </r>
  <r>
    <n v="30"/>
    <s v="No"/>
    <s v="Travel_Rarely"/>
    <n v="501"/>
    <s v="Sales"/>
    <n v="27"/>
    <n v="5"/>
    <s v="Marketing"/>
    <n v="1"/>
    <n v="747"/>
    <n v="3"/>
    <s v="Male"/>
    <n v="99"/>
    <n v="3"/>
    <n v="2"/>
    <x v="0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m/>
    <m/>
    <m/>
    <m/>
  </r>
  <r>
    <n v="29"/>
    <s v="No"/>
    <s v="Travel_Rarely"/>
    <n v="1396"/>
    <s v="Sales"/>
    <n v="10"/>
    <n v="3"/>
    <s v="Life Sciences"/>
    <n v="1"/>
    <n v="749"/>
    <n v="3"/>
    <s v="Male"/>
    <n v="99"/>
    <n v="3"/>
    <n v="1"/>
    <x v="6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m/>
    <m/>
    <m/>
    <m/>
  </r>
  <r>
    <n v="42"/>
    <s v="Yes"/>
    <s v="Travel_Frequently"/>
    <n v="933"/>
    <s v="Research &amp; Development"/>
    <n v="19"/>
    <n v="3"/>
    <s v="Medical"/>
    <n v="1"/>
    <n v="752"/>
    <n v="3"/>
    <s v="Male"/>
    <n v="57"/>
    <n v="4"/>
    <n v="1"/>
    <x v="1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m/>
    <m/>
    <m/>
    <m/>
  </r>
  <r>
    <n v="43"/>
    <s v="No"/>
    <s v="Travel_Frequently"/>
    <n v="775"/>
    <s v="Sales"/>
    <n v="15"/>
    <n v="3"/>
    <s v="Life Sciences"/>
    <n v="1"/>
    <n v="754"/>
    <n v="4"/>
    <s v="Male"/>
    <n v="47"/>
    <n v="2"/>
    <n v="2"/>
    <x v="0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m/>
    <m/>
    <m/>
    <m/>
  </r>
  <r>
    <n v="34"/>
    <s v="No"/>
    <s v="Travel_Rarely"/>
    <n v="970"/>
    <s v="Research &amp; Development"/>
    <n v="8"/>
    <n v="2"/>
    <s v="Medical"/>
    <n v="1"/>
    <n v="757"/>
    <n v="2"/>
    <s v="Female"/>
    <n v="96"/>
    <n v="3"/>
    <n v="2"/>
    <x v="4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m/>
    <m/>
    <m/>
    <m/>
  </r>
  <r>
    <n v="23"/>
    <s v="No"/>
    <s v="Travel_Rarely"/>
    <n v="650"/>
    <s v="Research &amp; Development"/>
    <n v="9"/>
    <n v="1"/>
    <s v="Medical"/>
    <n v="1"/>
    <n v="758"/>
    <n v="2"/>
    <s v="Male"/>
    <n v="37"/>
    <n v="3"/>
    <n v="1"/>
    <x v="2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m/>
    <m/>
    <m/>
    <m/>
  </r>
  <r>
    <n v="39"/>
    <s v="No"/>
    <s v="Travel_Rarely"/>
    <n v="141"/>
    <s v="Human Resources"/>
    <n v="3"/>
    <n v="3"/>
    <s v="Human Resources"/>
    <n v="1"/>
    <n v="760"/>
    <n v="3"/>
    <s v="Female"/>
    <n v="44"/>
    <n v="4"/>
    <n v="2"/>
    <x v="8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m/>
    <m/>
    <m/>
    <m/>
  </r>
  <r>
    <n v="56"/>
    <s v="No"/>
    <s v="Travel_Rarely"/>
    <n v="832"/>
    <s v="Research &amp; Development"/>
    <n v="9"/>
    <n v="3"/>
    <s v="Medical"/>
    <n v="1"/>
    <n v="762"/>
    <n v="3"/>
    <s v="Male"/>
    <n v="81"/>
    <n v="3"/>
    <n v="4"/>
    <x v="4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m/>
    <m/>
    <m/>
    <m/>
  </r>
  <r>
    <n v="40"/>
    <s v="No"/>
    <s v="Travel_Rarely"/>
    <n v="804"/>
    <s v="Research &amp; Development"/>
    <n v="2"/>
    <n v="1"/>
    <s v="Medical"/>
    <n v="1"/>
    <n v="763"/>
    <n v="4"/>
    <s v="Female"/>
    <n v="86"/>
    <n v="2"/>
    <n v="1"/>
    <x v="1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m/>
    <m/>
    <m/>
    <m/>
  </r>
  <r>
    <n v="27"/>
    <s v="No"/>
    <s v="Travel_Rarely"/>
    <n v="975"/>
    <s v="Research &amp; Development"/>
    <n v="7"/>
    <n v="3"/>
    <s v="Medical"/>
    <n v="1"/>
    <n v="764"/>
    <n v="4"/>
    <s v="Female"/>
    <n v="55"/>
    <n v="2"/>
    <n v="2"/>
    <x v="4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m/>
    <m/>
    <m/>
    <m/>
  </r>
  <r>
    <n v="29"/>
    <s v="No"/>
    <s v="Travel_Rarely"/>
    <n v="1090"/>
    <s v="Sales"/>
    <n v="10"/>
    <n v="3"/>
    <s v="Marketing"/>
    <n v="1"/>
    <n v="766"/>
    <n v="4"/>
    <s v="Male"/>
    <n v="83"/>
    <n v="3"/>
    <n v="1"/>
    <x v="6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m/>
    <m/>
    <m/>
    <m/>
  </r>
  <r>
    <n v="53"/>
    <s v="No"/>
    <s v="Travel_Rarely"/>
    <n v="346"/>
    <s v="Research &amp; Development"/>
    <n v="6"/>
    <n v="3"/>
    <s v="Life Sciences"/>
    <n v="1"/>
    <n v="769"/>
    <n v="4"/>
    <s v="Male"/>
    <n v="86"/>
    <n v="3"/>
    <n v="2"/>
    <x v="2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m/>
    <m/>
    <m/>
    <m/>
  </r>
  <r>
    <n v="35"/>
    <s v="No"/>
    <s v="Non-Travel"/>
    <n v="1225"/>
    <s v="Research &amp; Development"/>
    <n v="2"/>
    <n v="4"/>
    <s v="Life Sciences"/>
    <n v="1"/>
    <n v="771"/>
    <n v="4"/>
    <s v="Female"/>
    <n v="61"/>
    <n v="3"/>
    <n v="2"/>
    <x v="4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m/>
    <m/>
    <m/>
    <m/>
  </r>
  <r>
    <n v="32"/>
    <s v="No"/>
    <s v="Travel_Frequently"/>
    <n v="430"/>
    <s v="Research &amp; Development"/>
    <n v="24"/>
    <n v="4"/>
    <s v="Life Sciences"/>
    <n v="1"/>
    <n v="772"/>
    <n v="1"/>
    <s v="Male"/>
    <n v="80"/>
    <n v="3"/>
    <n v="2"/>
    <x v="2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m/>
    <m/>
    <m/>
    <m/>
  </r>
  <r>
    <n v="38"/>
    <s v="No"/>
    <s v="Travel_Rarely"/>
    <n v="268"/>
    <s v="Research &amp; Development"/>
    <n v="2"/>
    <n v="5"/>
    <s v="Medical"/>
    <n v="1"/>
    <n v="773"/>
    <n v="4"/>
    <s v="Male"/>
    <n v="92"/>
    <n v="3"/>
    <n v="1"/>
    <x v="1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m/>
    <m/>
    <m/>
    <m/>
  </r>
  <r>
    <n v="34"/>
    <s v="No"/>
    <s v="Travel_Rarely"/>
    <n v="167"/>
    <s v="Research &amp; Development"/>
    <n v="8"/>
    <n v="5"/>
    <s v="Life Sciences"/>
    <n v="1"/>
    <n v="775"/>
    <n v="2"/>
    <s v="Female"/>
    <n v="32"/>
    <n v="3"/>
    <n v="2"/>
    <x v="3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m/>
    <m/>
    <m/>
    <m/>
  </r>
  <r>
    <n v="52"/>
    <s v="No"/>
    <s v="Travel_Rarely"/>
    <n v="621"/>
    <s v="Sales"/>
    <n v="3"/>
    <n v="4"/>
    <s v="Marketing"/>
    <n v="1"/>
    <n v="776"/>
    <n v="3"/>
    <s v="Male"/>
    <n v="31"/>
    <n v="2"/>
    <n v="4"/>
    <x v="5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m/>
    <m/>
    <m/>
    <m/>
  </r>
  <r>
    <n v="33"/>
    <s v="Yes"/>
    <s v="Travel_Rarely"/>
    <n v="527"/>
    <s v="Research &amp; Development"/>
    <n v="1"/>
    <n v="4"/>
    <s v="Other"/>
    <n v="1"/>
    <n v="780"/>
    <n v="4"/>
    <s v="Male"/>
    <n v="63"/>
    <n v="3"/>
    <n v="1"/>
    <x v="1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m/>
    <m/>
    <m/>
    <m/>
  </r>
  <r>
    <n v="25"/>
    <s v="No"/>
    <s v="Travel_Rarely"/>
    <n v="883"/>
    <s v="Sales"/>
    <n v="26"/>
    <n v="1"/>
    <s v="Medical"/>
    <n v="1"/>
    <n v="781"/>
    <n v="3"/>
    <s v="Female"/>
    <n v="32"/>
    <n v="3"/>
    <n v="2"/>
    <x v="0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m/>
    <m/>
    <m/>
    <m/>
  </r>
  <r>
    <n v="45"/>
    <s v="No"/>
    <s v="Travel_Rarely"/>
    <n v="954"/>
    <s v="Sales"/>
    <n v="2"/>
    <n v="2"/>
    <s v="Technical Degree"/>
    <n v="1"/>
    <n v="783"/>
    <n v="2"/>
    <s v="Male"/>
    <n v="46"/>
    <n v="1"/>
    <n v="2"/>
    <x v="6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m/>
    <m/>
    <m/>
    <m/>
  </r>
  <r>
    <n v="23"/>
    <s v="No"/>
    <s v="Travel_Rarely"/>
    <n v="310"/>
    <s v="Research &amp; Development"/>
    <n v="10"/>
    <n v="1"/>
    <s v="Medical"/>
    <n v="1"/>
    <n v="784"/>
    <n v="1"/>
    <s v="Male"/>
    <n v="79"/>
    <n v="4"/>
    <n v="1"/>
    <x v="1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m/>
    <m/>
    <m/>
    <m/>
  </r>
  <r>
    <n v="47"/>
    <s v="Yes"/>
    <s v="Travel_Frequently"/>
    <n v="719"/>
    <s v="Sales"/>
    <n v="27"/>
    <n v="2"/>
    <s v="Life Sciences"/>
    <n v="1"/>
    <n v="785"/>
    <n v="2"/>
    <s v="Female"/>
    <n v="77"/>
    <n v="4"/>
    <n v="2"/>
    <x v="0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m/>
    <m/>
    <m/>
    <m/>
  </r>
  <r>
    <n v="34"/>
    <s v="No"/>
    <s v="Travel_Rarely"/>
    <n v="304"/>
    <s v="Sales"/>
    <n v="2"/>
    <n v="3"/>
    <s v="Other"/>
    <n v="1"/>
    <n v="786"/>
    <n v="4"/>
    <s v="Male"/>
    <n v="60"/>
    <n v="3"/>
    <n v="2"/>
    <x v="0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m/>
    <m/>
    <m/>
    <m/>
  </r>
  <r>
    <n v="55"/>
    <s v="Yes"/>
    <s v="Travel_Rarely"/>
    <n v="725"/>
    <s v="Research &amp; Development"/>
    <n v="2"/>
    <n v="3"/>
    <s v="Medical"/>
    <n v="1"/>
    <n v="787"/>
    <n v="4"/>
    <s v="Male"/>
    <n v="78"/>
    <n v="3"/>
    <n v="5"/>
    <x v="5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m/>
    <m/>
    <m/>
    <m/>
  </r>
  <r>
    <n v="36"/>
    <s v="No"/>
    <s v="Non-Travel"/>
    <n v="1434"/>
    <s v="Sales"/>
    <n v="8"/>
    <n v="4"/>
    <s v="Life Sciences"/>
    <n v="1"/>
    <n v="789"/>
    <n v="1"/>
    <s v="Male"/>
    <n v="76"/>
    <n v="2"/>
    <n v="3"/>
    <x v="0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m/>
    <m/>
    <m/>
    <m/>
  </r>
  <r>
    <n v="52"/>
    <s v="No"/>
    <s v="Non-Travel"/>
    <n v="715"/>
    <s v="Research &amp; Development"/>
    <n v="19"/>
    <n v="4"/>
    <s v="Medical"/>
    <n v="1"/>
    <n v="791"/>
    <n v="4"/>
    <s v="Male"/>
    <n v="41"/>
    <n v="3"/>
    <n v="1"/>
    <x v="1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m/>
    <m/>
    <m/>
    <m/>
  </r>
  <r>
    <n v="26"/>
    <s v="No"/>
    <s v="Travel_Frequently"/>
    <n v="575"/>
    <s v="Research &amp; Development"/>
    <n v="1"/>
    <n v="2"/>
    <s v="Life Sciences"/>
    <n v="1"/>
    <n v="792"/>
    <n v="1"/>
    <s v="Female"/>
    <n v="71"/>
    <n v="1"/>
    <n v="1"/>
    <x v="2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m/>
    <m/>
    <m/>
    <m/>
  </r>
  <r>
    <n v="29"/>
    <s v="No"/>
    <s v="Travel_Rarely"/>
    <n v="657"/>
    <s v="Research &amp; Development"/>
    <n v="27"/>
    <n v="3"/>
    <s v="Medical"/>
    <n v="1"/>
    <n v="793"/>
    <n v="2"/>
    <s v="Female"/>
    <n v="66"/>
    <n v="3"/>
    <n v="2"/>
    <x v="4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m/>
    <m/>
    <m/>
    <m/>
  </r>
  <r>
    <n v="26"/>
    <s v="Yes"/>
    <s v="Travel_Rarely"/>
    <n v="1146"/>
    <s v="Sales"/>
    <n v="8"/>
    <n v="3"/>
    <s v="Technical Degree"/>
    <n v="1"/>
    <n v="796"/>
    <n v="4"/>
    <s v="Male"/>
    <n v="38"/>
    <n v="2"/>
    <n v="2"/>
    <x v="0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m/>
    <m/>
    <m/>
    <m/>
  </r>
  <r>
    <n v="34"/>
    <s v="No"/>
    <s v="Travel_Rarely"/>
    <n v="182"/>
    <s v="Research &amp; Development"/>
    <n v="1"/>
    <n v="4"/>
    <s v="Life Sciences"/>
    <n v="1"/>
    <n v="797"/>
    <n v="2"/>
    <s v="Female"/>
    <n v="72"/>
    <n v="4"/>
    <n v="1"/>
    <x v="1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m/>
    <m/>
    <m/>
    <m/>
  </r>
  <r>
    <n v="54"/>
    <s v="No"/>
    <s v="Travel_Rarely"/>
    <n v="376"/>
    <s v="Research &amp; Development"/>
    <n v="19"/>
    <n v="4"/>
    <s v="Medical"/>
    <n v="1"/>
    <n v="799"/>
    <n v="4"/>
    <s v="Female"/>
    <n v="95"/>
    <n v="3"/>
    <n v="2"/>
    <x v="3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m/>
    <m/>
    <m/>
    <m/>
  </r>
  <r>
    <n v="27"/>
    <s v="No"/>
    <s v="Travel_Frequently"/>
    <n v="829"/>
    <s v="Sales"/>
    <n v="8"/>
    <n v="1"/>
    <s v="Marketing"/>
    <n v="1"/>
    <n v="800"/>
    <n v="3"/>
    <s v="Male"/>
    <n v="84"/>
    <n v="3"/>
    <n v="2"/>
    <x v="0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m/>
    <m/>
    <m/>
    <m/>
  </r>
  <r>
    <n v="37"/>
    <s v="No"/>
    <s v="Travel_Rarely"/>
    <n v="571"/>
    <s v="Research &amp; Development"/>
    <n v="10"/>
    <n v="1"/>
    <s v="Life Sciences"/>
    <n v="1"/>
    <n v="802"/>
    <n v="4"/>
    <s v="Female"/>
    <n v="82"/>
    <n v="3"/>
    <n v="1"/>
    <x v="1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m/>
    <m/>
    <m/>
    <m/>
  </r>
  <r>
    <n v="38"/>
    <s v="No"/>
    <s v="Travel_Frequently"/>
    <n v="240"/>
    <s v="Research &amp; Development"/>
    <n v="2"/>
    <n v="4"/>
    <s v="Life Sciences"/>
    <n v="1"/>
    <n v="803"/>
    <n v="1"/>
    <s v="Female"/>
    <n v="75"/>
    <n v="4"/>
    <n v="2"/>
    <x v="3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m/>
    <m/>
    <m/>
    <m/>
  </r>
  <r>
    <n v="34"/>
    <s v="No"/>
    <s v="Travel_Rarely"/>
    <n v="121"/>
    <s v="Research &amp; Development"/>
    <n v="2"/>
    <n v="4"/>
    <s v="Medical"/>
    <n v="1"/>
    <n v="804"/>
    <n v="3"/>
    <s v="Female"/>
    <n v="86"/>
    <n v="2"/>
    <n v="1"/>
    <x v="1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m/>
    <m/>
    <m/>
    <m/>
  </r>
  <r>
    <n v="35"/>
    <s v="No"/>
    <s v="Travel_Rarely"/>
    <n v="384"/>
    <s v="Sales"/>
    <n v="8"/>
    <n v="4"/>
    <s v="Life Sciences"/>
    <n v="1"/>
    <n v="805"/>
    <n v="1"/>
    <s v="Female"/>
    <n v="72"/>
    <n v="3"/>
    <n v="1"/>
    <x v="6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m/>
    <m/>
    <m/>
    <m/>
  </r>
  <r>
    <n v="30"/>
    <s v="No"/>
    <s v="Travel_Rarely"/>
    <n v="921"/>
    <s v="Research &amp; Development"/>
    <n v="1"/>
    <n v="3"/>
    <s v="Life Sciences"/>
    <n v="1"/>
    <n v="806"/>
    <n v="4"/>
    <s v="Male"/>
    <n v="38"/>
    <n v="1"/>
    <n v="1"/>
    <x v="2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m/>
    <m/>
    <m/>
    <m/>
  </r>
  <r>
    <n v="40"/>
    <s v="No"/>
    <s v="Travel_Frequently"/>
    <n v="791"/>
    <s v="Research &amp; Development"/>
    <n v="2"/>
    <n v="2"/>
    <s v="Medical"/>
    <n v="1"/>
    <n v="807"/>
    <n v="3"/>
    <s v="Female"/>
    <n v="38"/>
    <n v="4"/>
    <n v="2"/>
    <x v="4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m/>
    <m/>
    <m/>
    <m/>
  </r>
  <r>
    <n v="34"/>
    <s v="No"/>
    <s v="Travel_Rarely"/>
    <n v="1111"/>
    <s v="Sales"/>
    <n v="8"/>
    <n v="2"/>
    <s v="Life Sciences"/>
    <n v="1"/>
    <n v="808"/>
    <n v="3"/>
    <s v="Female"/>
    <n v="93"/>
    <n v="3"/>
    <n v="2"/>
    <x v="0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m/>
    <m/>
    <m/>
    <m/>
  </r>
  <r>
    <n v="42"/>
    <s v="No"/>
    <s v="Travel_Frequently"/>
    <n v="570"/>
    <s v="Research &amp; Development"/>
    <n v="8"/>
    <n v="3"/>
    <s v="Life Sciences"/>
    <n v="1"/>
    <n v="809"/>
    <n v="2"/>
    <s v="Male"/>
    <n v="66"/>
    <n v="3"/>
    <n v="5"/>
    <x v="5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m/>
    <m/>
    <m/>
    <m/>
  </r>
  <r>
    <n v="23"/>
    <s v="Yes"/>
    <s v="Travel_Rarely"/>
    <n v="1243"/>
    <s v="Research &amp; Development"/>
    <n v="6"/>
    <n v="3"/>
    <s v="Life Sciences"/>
    <n v="1"/>
    <n v="811"/>
    <n v="3"/>
    <s v="Male"/>
    <n v="63"/>
    <n v="4"/>
    <n v="1"/>
    <x v="2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m/>
    <m/>
    <m/>
    <m/>
  </r>
  <r>
    <n v="24"/>
    <s v="No"/>
    <s v="Non-Travel"/>
    <n v="1092"/>
    <s v="Research &amp; Development"/>
    <n v="9"/>
    <n v="3"/>
    <s v="Life Sciences"/>
    <n v="1"/>
    <n v="812"/>
    <n v="3"/>
    <s v="Male"/>
    <n v="60"/>
    <n v="2"/>
    <n v="1"/>
    <x v="2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m/>
    <m/>
    <m/>
    <m/>
  </r>
  <r>
    <n v="52"/>
    <s v="No"/>
    <s v="Travel_Rarely"/>
    <n v="1325"/>
    <s v="Research &amp; Development"/>
    <n v="11"/>
    <n v="4"/>
    <s v="Life Sciences"/>
    <n v="1"/>
    <n v="813"/>
    <n v="4"/>
    <s v="Female"/>
    <n v="82"/>
    <n v="3"/>
    <n v="2"/>
    <x v="2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m/>
    <m/>
    <m/>
    <m/>
  </r>
  <r>
    <n v="50"/>
    <s v="No"/>
    <s v="Travel_Rarely"/>
    <n v="691"/>
    <s v="Research &amp; Development"/>
    <n v="2"/>
    <n v="3"/>
    <s v="Medical"/>
    <n v="1"/>
    <n v="815"/>
    <n v="3"/>
    <s v="Male"/>
    <n v="64"/>
    <n v="3"/>
    <n v="4"/>
    <x v="7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m/>
    <m/>
    <m/>
    <m/>
  </r>
  <r>
    <n v="29"/>
    <s v="Yes"/>
    <s v="Travel_Rarely"/>
    <n v="805"/>
    <s v="Research &amp; Development"/>
    <n v="1"/>
    <n v="2"/>
    <s v="Life Sciences"/>
    <n v="1"/>
    <n v="816"/>
    <n v="2"/>
    <s v="Female"/>
    <n v="36"/>
    <n v="2"/>
    <n v="1"/>
    <x v="2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m/>
    <m/>
    <m/>
    <m/>
  </r>
  <r>
    <n v="33"/>
    <s v="No"/>
    <s v="Travel_Rarely"/>
    <n v="213"/>
    <s v="Research &amp; Development"/>
    <n v="7"/>
    <n v="3"/>
    <s v="Medical"/>
    <n v="1"/>
    <n v="817"/>
    <n v="3"/>
    <s v="Male"/>
    <n v="49"/>
    <n v="3"/>
    <n v="3"/>
    <x v="7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m/>
    <m/>
    <m/>
    <m/>
  </r>
  <r>
    <n v="33"/>
    <s v="Yes"/>
    <s v="Travel_Rarely"/>
    <n v="118"/>
    <s v="Sales"/>
    <n v="16"/>
    <n v="3"/>
    <s v="Marketing"/>
    <n v="1"/>
    <n v="819"/>
    <n v="1"/>
    <s v="Female"/>
    <n v="69"/>
    <n v="3"/>
    <n v="2"/>
    <x v="0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m/>
    <m/>
    <m/>
    <m/>
  </r>
  <r>
    <n v="47"/>
    <s v="No"/>
    <s v="Travel_Rarely"/>
    <n v="202"/>
    <s v="Research &amp; Development"/>
    <n v="2"/>
    <n v="2"/>
    <s v="Other"/>
    <n v="1"/>
    <n v="820"/>
    <n v="3"/>
    <s v="Female"/>
    <n v="33"/>
    <n v="3"/>
    <n v="4"/>
    <x v="5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m/>
    <m/>
    <m/>
    <m/>
  </r>
  <r>
    <n v="36"/>
    <s v="No"/>
    <s v="Travel_Rarely"/>
    <n v="676"/>
    <s v="Research &amp; Development"/>
    <n v="1"/>
    <n v="3"/>
    <s v="Other"/>
    <n v="1"/>
    <n v="823"/>
    <n v="3"/>
    <s v="Female"/>
    <n v="35"/>
    <n v="3"/>
    <n v="2"/>
    <x v="3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m/>
    <m/>
    <m/>
    <m/>
  </r>
  <r>
    <n v="29"/>
    <s v="No"/>
    <s v="Travel_Rarely"/>
    <n v="1252"/>
    <s v="Research &amp; Development"/>
    <n v="23"/>
    <n v="2"/>
    <s v="Life Sciences"/>
    <n v="1"/>
    <n v="824"/>
    <n v="3"/>
    <s v="Male"/>
    <n v="81"/>
    <n v="4"/>
    <n v="1"/>
    <x v="1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m/>
    <m/>
    <m/>
    <m/>
  </r>
  <r>
    <n v="58"/>
    <s v="Yes"/>
    <s v="Travel_Rarely"/>
    <n v="286"/>
    <s v="Research &amp; Development"/>
    <n v="2"/>
    <n v="4"/>
    <s v="Life Sciences"/>
    <n v="1"/>
    <n v="825"/>
    <n v="4"/>
    <s v="Male"/>
    <n v="31"/>
    <n v="3"/>
    <n v="5"/>
    <x v="7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m/>
    <m/>
    <m/>
    <m/>
  </r>
  <r>
    <n v="35"/>
    <s v="No"/>
    <s v="Travel_Rarely"/>
    <n v="1258"/>
    <s v="Research &amp; Development"/>
    <n v="1"/>
    <n v="4"/>
    <s v="Life Sciences"/>
    <n v="1"/>
    <n v="826"/>
    <n v="4"/>
    <s v="Female"/>
    <n v="40"/>
    <n v="4"/>
    <n v="1"/>
    <x v="1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m/>
    <m/>
    <m/>
    <m/>
  </r>
  <r>
    <n v="42"/>
    <s v="No"/>
    <s v="Travel_Rarely"/>
    <n v="932"/>
    <s v="Research &amp; Development"/>
    <n v="1"/>
    <n v="2"/>
    <s v="Life Sciences"/>
    <n v="1"/>
    <n v="827"/>
    <n v="4"/>
    <s v="Female"/>
    <n v="43"/>
    <n v="2"/>
    <n v="2"/>
    <x v="3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m/>
    <m/>
    <m/>
    <m/>
  </r>
  <r>
    <n v="28"/>
    <s v="Yes"/>
    <s v="Travel_Rarely"/>
    <n v="890"/>
    <s v="Research &amp; Development"/>
    <n v="2"/>
    <n v="4"/>
    <s v="Medical"/>
    <n v="1"/>
    <n v="828"/>
    <n v="3"/>
    <s v="Male"/>
    <n v="46"/>
    <n v="3"/>
    <n v="1"/>
    <x v="1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m/>
    <m/>
    <m/>
    <m/>
  </r>
  <r>
    <n v="36"/>
    <s v="No"/>
    <s v="Travel_Rarely"/>
    <n v="1041"/>
    <s v="Human Resources"/>
    <n v="13"/>
    <n v="3"/>
    <s v="Human Resources"/>
    <n v="1"/>
    <n v="829"/>
    <n v="3"/>
    <s v="Male"/>
    <n v="36"/>
    <n v="3"/>
    <n v="1"/>
    <x v="8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m/>
    <m/>
    <m/>
    <m/>
  </r>
  <r>
    <n v="32"/>
    <s v="No"/>
    <s v="Travel_Rarely"/>
    <n v="859"/>
    <s v="Research &amp; Development"/>
    <n v="4"/>
    <n v="3"/>
    <s v="Life Sciences"/>
    <n v="1"/>
    <n v="830"/>
    <n v="3"/>
    <s v="Female"/>
    <n v="98"/>
    <n v="2"/>
    <n v="2"/>
    <x v="3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m/>
    <m/>
    <m/>
    <m/>
  </r>
  <r>
    <n v="40"/>
    <s v="No"/>
    <s v="Travel_Frequently"/>
    <n v="720"/>
    <s v="Research &amp; Development"/>
    <n v="16"/>
    <n v="4"/>
    <s v="Medical"/>
    <n v="1"/>
    <n v="832"/>
    <n v="1"/>
    <s v="Male"/>
    <n v="51"/>
    <n v="2"/>
    <n v="2"/>
    <x v="2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m/>
    <m/>
    <m/>
    <m/>
  </r>
  <r>
    <n v="30"/>
    <s v="No"/>
    <s v="Travel_Rarely"/>
    <n v="946"/>
    <s v="Research &amp; Development"/>
    <n v="2"/>
    <n v="3"/>
    <s v="Medical"/>
    <n v="1"/>
    <n v="833"/>
    <n v="3"/>
    <s v="Female"/>
    <n v="52"/>
    <n v="2"/>
    <n v="2"/>
    <x v="3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m/>
    <m/>
    <m/>
    <m/>
  </r>
  <r>
    <n v="45"/>
    <s v="No"/>
    <s v="Travel_Rarely"/>
    <n v="252"/>
    <s v="Research &amp; Development"/>
    <n v="2"/>
    <n v="3"/>
    <s v="Life Sciences"/>
    <n v="1"/>
    <n v="834"/>
    <n v="2"/>
    <s v="Female"/>
    <n v="95"/>
    <n v="2"/>
    <n v="1"/>
    <x v="1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m/>
    <m/>
    <m/>
    <m/>
  </r>
  <r>
    <n v="42"/>
    <s v="No"/>
    <s v="Travel_Rarely"/>
    <n v="933"/>
    <s v="Research &amp; Development"/>
    <n v="29"/>
    <n v="3"/>
    <s v="Life Sciences"/>
    <n v="1"/>
    <n v="836"/>
    <n v="2"/>
    <s v="Male"/>
    <n v="98"/>
    <n v="3"/>
    <n v="2"/>
    <x v="3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m/>
    <m/>
    <m/>
    <m/>
  </r>
  <r>
    <n v="38"/>
    <s v="No"/>
    <s v="Travel_Frequently"/>
    <n v="471"/>
    <s v="Research &amp; Development"/>
    <n v="12"/>
    <n v="3"/>
    <s v="Life Sciences"/>
    <n v="1"/>
    <n v="837"/>
    <n v="1"/>
    <s v="Male"/>
    <n v="45"/>
    <n v="2"/>
    <n v="2"/>
    <x v="4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m/>
    <m/>
    <m/>
    <m/>
  </r>
  <r>
    <n v="34"/>
    <s v="No"/>
    <s v="Travel_Frequently"/>
    <n v="702"/>
    <s v="Research &amp; Development"/>
    <n v="16"/>
    <n v="4"/>
    <s v="Life Sciences"/>
    <n v="1"/>
    <n v="838"/>
    <n v="3"/>
    <s v="Female"/>
    <n v="100"/>
    <n v="2"/>
    <n v="1"/>
    <x v="1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m/>
    <m/>
    <m/>
    <m/>
  </r>
  <r>
    <n v="49"/>
    <s v="Yes"/>
    <s v="Travel_Rarely"/>
    <n v="1184"/>
    <s v="Sales"/>
    <n v="11"/>
    <n v="3"/>
    <s v="Marketing"/>
    <n v="1"/>
    <n v="840"/>
    <n v="3"/>
    <s v="Female"/>
    <n v="43"/>
    <n v="3"/>
    <n v="3"/>
    <x v="0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m/>
    <m/>
    <m/>
    <m/>
  </r>
  <r>
    <n v="55"/>
    <s v="Yes"/>
    <s v="Travel_Rarely"/>
    <n v="436"/>
    <s v="Sales"/>
    <n v="2"/>
    <n v="1"/>
    <s v="Medical"/>
    <n v="1"/>
    <n v="842"/>
    <n v="3"/>
    <s v="Male"/>
    <n v="37"/>
    <n v="3"/>
    <n v="2"/>
    <x v="0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m/>
    <m/>
    <m/>
    <m/>
  </r>
  <r>
    <n v="43"/>
    <s v="No"/>
    <s v="Travel_Rarely"/>
    <n v="589"/>
    <s v="Research &amp; Development"/>
    <n v="14"/>
    <n v="2"/>
    <s v="Life Sciences"/>
    <n v="1"/>
    <n v="843"/>
    <n v="2"/>
    <s v="Male"/>
    <n v="94"/>
    <n v="3"/>
    <n v="4"/>
    <x v="7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m/>
    <m/>
    <m/>
    <m/>
  </r>
  <r>
    <n v="27"/>
    <s v="No"/>
    <s v="Travel_Rarely"/>
    <n v="269"/>
    <s v="Research &amp; Development"/>
    <n v="5"/>
    <n v="1"/>
    <s v="Technical Degree"/>
    <n v="1"/>
    <n v="844"/>
    <n v="3"/>
    <s v="Male"/>
    <n v="42"/>
    <n v="2"/>
    <n v="3"/>
    <x v="7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m/>
    <m/>
    <m/>
    <m/>
  </r>
  <r>
    <n v="35"/>
    <s v="No"/>
    <s v="Travel_Rarely"/>
    <n v="950"/>
    <s v="Research &amp; Development"/>
    <n v="7"/>
    <n v="3"/>
    <s v="Other"/>
    <n v="1"/>
    <n v="845"/>
    <n v="3"/>
    <s v="Male"/>
    <n v="59"/>
    <n v="3"/>
    <n v="3"/>
    <x v="3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m/>
    <m/>
    <m/>
    <m/>
  </r>
  <r>
    <n v="28"/>
    <s v="No"/>
    <s v="Travel_Rarely"/>
    <n v="760"/>
    <s v="Sales"/>
    <n v="2"/>
    <n v="4"/>
    <s v="Marketing"/>
    <n v="1"/>
    <n v="846"/>
    <n v="2"/>
    <s v="Female"/>
    <n v="81"/>
    <n v="3"/>
    <n v="2"/>
    <x v="0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m/>
    <m/>
    <m/>
    <m/>
  </r>
  <r>
    <n v="34"/>
    <s v="No"/>
    <s v="Travel_Rarely"/>
    <n v="829"/>
    <s v="Human Resources"/>
    <n v="3"/>
    <n v="2"/>
    <s v="Human Resources"/>
    <n v="1"/>
    <n v="847"/>
    <n v="3"/>
    <s v="Male"/>
    <n v="88"/>
    <n v="3"/>
    <n v="1"/>
    <x v="8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m/>
    <m/>
    <m/>
    <m/>
  </r>
  <r>
    <n v="26"/>
    <s v="Yes"/>
    <s v="Travel_Frequently"/>
    <n v="887"/>
    <s v="Research &amp; Development"/>
    <n v="5"/>
    <n v="2"/>
    <s v="Medical"/>
    <n v="1"/>
    <n v="848"/>
    <n v="3"/>
    <s v="Female"/>
    <n v="88"/>
    <n v="2"/>
    <n v="1"/>
    <x v="1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m/>
    <m/>
    <m/>
    <m/>
  </r>
  <r>
    <n v="27"/>
    <s v="No"/>
    <s v="Non-Travel"/>
    <n v="443"/>
    <s v="Research &amp; Development"/>
    <n v="3"/>
    <n v="3"/>
    <s v="Medical"/>
    <n v="1"/>
    <n v="850"/>
    <n v="4"/>
    <s v="Male"/>
    <n v="50"/>
    <n v="3"/>
    <n v="1"/>
    <x v="1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m/>
    <m/>
    <m/>
    <m/>
  </r>
  <r>
    <n v="51"/>
    <s v="No"/>
    <s v="Travel_Rarely"/>
    <n v="1318"/>
    <s v="Sales"/>
    <n v="26"/>
    <n v="4"/>
    <s v="Marketing"/>
    <n v="1"/>
    <n v="851"/>
    <n v="1"/>
    <s v="Female"/>
    <n v="66"/>
    <n v="3"/>
    <n v="4"/>
    <x v="5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m/>
    <m/>
    <m/>
    <m/>
  </r>
  <r>
    <n v="44"/>
    <s v="No"/>
    <s v="Travel_Rarely"/>
    <n v="625"/>
    <s v="Research &amp; Development"/>
    <n v="4"/>
    <n v="3"/>
    <s v="Medical"/>
    <n v="1"/>
    <n v="852"/>
    <n v="4"/>
    <s v="Male"/>
    <n v="50"/>
    <n v="3"/>
    <n v="2"/>
    <x v="4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m/>
    <m/>
    <m/>
    <m/>
  </r>
  <r>
    <n v="25"/>
    <s v="No"/>
    <s v="Travel_Rarely"/>
    <n v="180"/>
    <s v="Research &amp; Development"/>
    <n v="2"/>
    <n v="1"/>
    <s v="Medical"/>
    <n v="1"/>
    <n v="854"/>
    <n v="1"/>
    <s v="Male"/>
    <n v="65"/>
    <n v="4"/>
    <n v="1"/>
    <x v="1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m/>
    <m/>
    <m/>
    <m/>
  </r>
  <r>
    <n v="33"/>
    <s v="No"/>
    <s v="Travel_Rarely"/>
    <n v="586"/>
    <s v="Sales"/>
    <n v="1"/>
    <n v="3"/>
    <s v="Medical"/>
    <n v="1"/>
    <n v="855"/>
    <n v="1"/>
    <s v="Male"/>
    <n v="48"/>
    <n v="4"/>
    <n v="2"/>
    <x v="0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m/>
    <m/>
    <m/>
    <m/>
  </r>
  <r>
    <n v="35"/>
    <s v="No"/>
    <s v="Travel_Rarely"/>
    <n v="1343"/>
    <s v="Research &amp; Development"/>
    <n v="27"/>
    <n v="1"/>
    <s v="Medical"/>
    <n v="1"/>
    <n v="856"/>
    <n v="3"/>
    <s v="Female"/>
    <n v="53"/>
    <n v="2"/>
    <n v="1"/>
    <x v="1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m/>
    <m/>
    <m/>
    <m/>
  </r>
  <r>
    <n v="36"/>
    <s v="No"/>
    <s v="Travel_Rarely"/>
    <n v="928"/>
    <s v="Sales"/>
    <n v="1"/>
    <n v="2"/>
    <s v="Life Sciences"/>
    <n v="1"/>
    <n v="857"/>
    <n v="2"/>
    <s v="Male"/>
    <n v="56"/>
    <n v="3"/>
    <n v="2"/>
    <x v="0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m/>
    <m/>
    <m/>
    <m/>
  </r>
  <r>
    <n v="32"/>
    <s v="No"/>
    <s v="Travel_Rarely"/>
    <n v="117"/>
    <s v="Sales"/>
    <n v="13"/>
    <n v="4"/>
    <s v="Life Sciences"/>
    <n v="1"/>
    <n v="859"/>
    <n v="2"/>
    <s v="Male"/>
    <n v="73"/>
    <n v="3"/>
    <n v="2"/>
    <x v="0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m/>
    <m/>
    <m/>
    <m/>
  </r>
  <r>
    <n v="30"/>
    <s v="No"/>
    <s v="Travel_Frequently"/>
    <n v="1012"/>
    <s v="Research &amp; Development"/>
    <n v="5"/>
    <n v="4"/>
    <s v="Life Sciences"/>
    <n v="1"/>
    <n v="861"/>
    <n v="2"/>
    <s v="Male"/>
    <n v="75"/>
    <n v="2"/>
    <n v="1"/>
    <x v="1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m/>
    <m/>
    <m/>
    <m/>
  </r>
  <r>
    <n v="53"/>
    <s v="No"/>
    <s v="Travel_Rarely"/>
    <n v="661"/>
    <s v="Sales"/>
    <n v="7"/>
    <n v="2"/>
    <s v="Marketing"/>
    <n v="1"/>
    <n v="862"/>
    <n v="1"/>
    <s v="Female"/>
    <n v="78"/>
    <n v="2"/>
    <n v="3"/>
    <x v="0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m/>
    <m/>
    <m/>
    <m/>
  </r>
  <r>
    <n v="45"/>
    <s v="No"/>
    <s v="Travel_Rarely"/>
    <n v="930"/>
    <s v="Sales"/>
    <n v="9"/>
    <n v="3"/>
    <s v="Marketing"/>
    <n v="1"/>
    <n v="864"/>
    <n v="4"/>
    <s v="Male"/>
    <n v="74"/>
    <n v="3"/>
    <n v="3"/>
    <x v="0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m/>
    <m/>
    <m/>
    <m/>
  </r>
  <r>
    <n v="32"/>
    <s v="No"/>
    <s v="Travel_Rarely"/>
    <n v="638"/>
    <s v="Research &amp; Development"/>
    <n v="8"/>
    <n v="2"/>
    <s v="Medical"/>
    <n v="1"/>
    <n v="865"/>
    <n v="3"/>
    <s v="Female"/>
    <n v="91"/>
    <n v="4"/>
    <n v="2"/>
    <x v="1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m/>
    <m/>
    <m/>
    <m/>
  </r>
  <r>
    <n v="52"/>
    <s v="No"/>
    <s v="Travel_Frequently"/>
    <n v="890"/>
    <s v="Research &amp; Development"/>
    <n v="25"/>
    <n v="4"/>
    <s v="Medical"/>
    <n v="1"/>
    <n v="867"/>
    <n v="3"/>
    <s v="Female"/>
    <n v="81"/>
    <n v="2"/>
    <n v="4"/>
    <x v="3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m/>
    <m/>
    <m/>
    <m/>
  </r>
  <r>
    <n v="37"/>
    <s v="No"/>
    <s v="Travel_Rarely"/>
    <n v="342"/>
    <s v="Sales"/>
    <n v="16"/>
    <n v="4"/>
    <s v="Marketing"/>
    <n v="1"/>
    <n v="868"/>
    <n v="4"/>
    <s v="Male"/>
    <n v="66"/>
    <n v="2"/>
    <n v="2"/>
    <x v="0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m/>
    <m/>
    <m/>
    <m/>
  </r>
  <r>
    <n v="28"/>
    <s v="No"/>
    <s v="Travel_Rarely"/>
    <n v="1169"/>
    <s v="Human Resources"/>
    <n v="8"/>
    <n v="2"/>
    <s v="Medical"/>
    <n v="1"/>
    <n v="869"/>
    <n v="2"/>
    <s v="Male"/>
    <n v="63"/>
    <n v="2"/>
    <n v="1"/>
    <x v="8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m/>
    <m/>
    <m/>
    <m/>
  </r>
  <r>
    <n v="22"/>
    <s v="No"/>
    <s v="Travel_Rarely"/>
    <n v="1230"/>
    <s v="Research &amp; Development"/>
    <n v="1"/>
    <n v="2"/>
    <s v="Life Sciences"/>
    <n v="1"/>
    <n v="872"/>
    <n v="4"/>
    <s v="Male"/>
    <n v="33"/>
    <n v="2"/>
    <n v="2"/>
    <x v="3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m/>
    <m/>
    <m/>
    <m/>
  </r>
  <r>
    <n v="44"/>
    <s v="No"/>
    <s v="Travel_Rarely"/>
    <n v="986"/>
    <s v="Research &amp; Development"/>
    <n v="8"/>
    <n v="4"/>
    <s v="Life Sciences"/>
    <n v="1"/>
    <n v="874"/>
    <n v="1"/>
    <s v="Male"/>
    <n v="62"/>
    <n v="4"/>
    <n v="1"/>
    <x v="2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m/>
    <m/>
    <m/>
    <m/>
  </r>
  <r>
    <n v="42"/>
    <s v="No"/>
    <s v="Travel_Frequently"/>
    <n v="1271"/>
    <s v="Research &amp; Development"/>
    <n v="2"/>
    <n v="1"/>
    <s v="Medical"/>
    <n v="1"/>
    <n v="875"/>
    <n v="2"/>
    <s v="Male"/>
    <n v="35"/>
    <n v="3"/>
    <n v="1"/>
    <x v="1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m/>
    <m/>
    <m/>
    <m/>
  </r>
  <r>
    <n v="36"/>
    <s v="No"/>
    <s v="Travel_Rarely"/>
    <n v="1278"/>
    <s v="Human Resources"/>
    <n v="8"/>
    <n v="3"/>
    <s v="Life Sciences"/>
    <n v="1"/>
    <n v="878"/>
    <n v="1"/>
    <s v="Male"/>
    <n v="77"/>
    <n v="2"/>
    <n v="1"/>
    <x v="8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m/>
    <m/>
    <m/>
    <m/>
  </r>
  <r>
    <n v="25"/>
    <s v="No"/>
    <s v="Travel_Rarely"/>
    <n v="141"/>
    <s v="Sales"/>
    <n v="3"/>
    <n v="1"/>
    <s v="Other"/>
    <n v="1"/>
    <n v="879"/>
    <n v="3"/>
    <s v="Male"/>
    <n v="98"/>
    <n v="3"/>
    <n v="2"/>
    <x v="0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m/>
    <m/>
    <m/>
    <m/>
  </r>
  <r>
    <n v="35"/>
    <s v="No"/>
    <s v="Travel_Rarely"/>
    <n v="607"/>
    <s v="Research &amp; Development"/>
    <n v="9"/>
    <n v="3"/>
    <s v="Life Sciences"/>
    <n v="1"/>
    <n v="880"/>
    <n v="4"/>
    <s v="Female"/>
    <n v="66"/>
    <n v="2"/>
    <n v="3"/>
    <x v="3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m/>
    <m/>
    <m/>
    <m/>
  </r>
  <r>
    <n v="35"/>
    <s v="Yes"/>
    <s v="Travel_Frequently"/>
    <n v="130"/>
    <s v="Research &amp; Development"/>
    <n v="25"/>
    <n v="4"/>
    <s v="Life Sciences"/>
    <n v="1"/>
    <n v="881"/>
    <n v="4"/>
    <s v="Female"/>
    <n v="96"/>
    <n v="3"/>
    <n v="1"/>
    <x v="1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m/>
    <m/>
    <m/>
    <m/>
  </r>
  <r>
    <n v="32"/>
    <s v="No"/>
    <s v="Non-Travel"/>
    <n v="300"/>
    <s v="Research &amp; Development"/>
    <n v="1"/>
    <n v="3"/>
    <s v="Life Sciences"/>
    <n v="1"/>
    <n v="882"/>
    <n v="4"/>
    <s v="Male"/>
    <n v="61"/>
    <n v="3"/>
    <n v="1"/>
    <x v="2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m/>
    <m/>
    <m/>
    <m/>
  </r>
  <r>
    <n v="25"/>
    <s v="No"/>
    <s v="Travel_Rarely"/>
    <n v="583"/>
    <s v="Sales"/>
    <n v="4"/>
    <n v="1"/>
    <s v="Marketing"/>
    <n v="1"/>
    <n v="885"/>
    <n v="3"/>
    <s v="Male"/>
    <n v="87"/>
    <n v="2"/>
    <n v="2"/>
    <x v="0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m/>
    <m/>
    <m/>
    <m/>
  </r>
  <r>
    <n v="49"/>
    <s v="No"/>
    <s v="Travel_Rarely"/>
    <n v="1418"/>
    <s v="Research &amp; Development"/>
    <n v="1"/>
    <n v="3"/>
    <s v="Technical Degree"/>
    <n v="1"/>
    <n v="887"/>
    <n v="3"/>
    <s v="Female"/>
    <n v="36"/>
    <n v="3"/>
    <n v="1"/>
    <x v="1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m/>
    <m/>
    <m/>
    <m/>
  </r>
  <r>
    <n v="24"/>
    <s v="No"/>
    <s v="Non-Travel"/>
    <n v="1269"/>
    <s v="Research &amp; Development"/>
    <n v="4"/>
    <n v="1"/>
    <s v="Life Sciences"/>
    <n v="1"/>
    <n v="888"/>
    <n v="1"/>
    <s v="Male"/>
    <n v="46"/>
    <n v="2"/>
    <n v="1"/>
    <x v="2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m/>
    <m/>
    <m/>
    <m/>
  </r>
  <r>
    <n v="32"/>
    <s v="No"/>
    <s v="Travel_Frequently"/>
    <n v="379"/>
    <s v="Sales"/>
    <n v="5"/>
    <n v="2"/>
    <s v="Life Sciences"/>
    <n v="1"/>
    <n v="889"/>
    <n v="2"/>
    <s v="Male"/>
    <n v="48"/>
    <n v="3"/>
    <n v="2"/>
    <x v="0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m/>
    <m/>
    <m/>
    <m/>
  </r>
  <r>
    <n v="38"/>
    <s v="No"/>
    <s v="Travel_Rarely"/>
    <n v="395"/>
    <s v="Sales"/>
    <n v="9"/>
    <n v="3"/>
    <s v="Marketing"/>
    <n v="1"/>
    <n v="893"/>
    <n v="2"/>
    <s v="Male"/>
    <n v="98"/>
    <n v="2"/>
    <n v="1"/>
    <x v="6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m/>
    <m/>
    <m/>
    <m/>
  </r>
  <r>
    <n v="42"/>
    <s v="No"/>
    <s v="Travel_Rarely"/>
    <n v="1265"/>
    <s v="Research &amp; Development"/>
    <n v="3"/>
    <n v="3"/>
    <s v="Life Sciences"/>
    <n v="1"/>
    <n v="894"/>
    <n v="3"/>
    <s v="Female"/>
    <n v="95"/>
    <n v="4"/>
    <n v="2"/>
    <x v="2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m/>
    <m/>
    <m/>
    <m/>
  </r>
  <r>
    <n v="31"/>
    <s v="No"/>
    <s v="Travel_Rarely"/>
    <n v="1222"/>
    <s v="Research &amp; Development"/>
    <n v="11"/>
    <n v="4"/>
    <s v="Life Sciences"/>
    <n v="1"/>
    <n v="895"/>
    <n v="4"/>
    <s v="Male"/>
    <n v="48"/>
    <n v="3"/>
    <n v="1"/>
    <x v="1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m/>
    <m/>
    <m/>
    <m/>
  </r>
  <r>
    <n v="29"/>
    <s v="Yes"/>
    <s v="Travel_Rarely"/>
    <n v="341"/>
    <s v="Sales"/>
    <n v="1"/>
    <n v="3"/>
    <s v="Medical"/>
    <n v="1"/>
    <n v="896"/>
    <n v="2"/>
    <s v="Female"/>
    <n v="48"/>
    <n v="2"/>
    <n v="1"/>
    <x v="6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m/>
    <m/>
    <m/>
    <m/>
  </r>
  <r>
    <n v="53"/>
    <s v="No"/>
    <s v="Travel_Rarely"/>
    <n v="868"/>
    <s v="Sales"/>
    <n v="8"/>
    <n v="3"/>
    <s v="Marketing"/>
    <n v="1"/>
    <n v="897"/>
    <n v="1"/>
    <s v="Male"/>
    <n v="73"/>
    <n v="3"/>
    <n v="4"/>
    <x v="0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m/>
    <m/>
    <m/>
    <m/>
  </r>
  <r>
    <n v="35"/>
    <s v="No"/>
    <s v="Travel_Rarely"/>
    <n v="672"/>
    <s v="Research &amp; Development"/>
    <n v="25"/>
    <n v="3"/>
    <s v="Technical Degree"/>
    <n v="1"/>
    <n v="899"/>
    <n v="4"/>
    <s v="Male"/>
    <n v="78"/>
    <n v="2"/>
    <n v="3"/>
    <x v="3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m/>
    <m/>
    <m/>
    <m/>
  </r>
  <r>
    <n v="37"/>
    <s v="No"/>
    <s v="Travel_Frequently"/>
    <n v="1231"/>
    <s v="Sales"/>
    <n v="21"/>
    <n v="2"/>
    <s v="Medical"/>
    <n v="1"/>
    <n v="900"/>
    <n v="3"/>
    <s v="Female"/>
    <n v="54"/>
    <n v="3"/>
    <n v="1"/>
    <x v="6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m/>
    <m/>
    <m/>
    <m/>
  </r>
  <r>
    <n v="53"/>
    <s v="No"/>
    <s v="Travel_Rarely"/>
    <n v="102"/>
    <s v="Research &amp; Development"/>
    <n v="23"/>
    <n v="4"/>
    <s v="Life Sciences"/>
    <n v="1"/>
    <n v="901"/>
    <n v="4"/>
    <s v="Female"/>
    <n v="72"/>
    <n v="3"/>
    <n v="4"/>
    <x v="7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m/>
    <m/>
    <m/>
    <m/>
  </r>
  <r>
    <n v="43"/>
    <s v="No"/>
    <s v="Travel_Frequently"/>
    <n v="422"/>
    <s v="Research &amp; Development"/>
    <n v="1"/>
    <n v="3"/>
    <s v="Life Sciences"/>
    <n v="1"/>
    <n v="902"/>
    <n v="4"/>
    <s v="Female"/>
    <n v="33"/>
    <n v="3"/>
    <n v="2"/>
    <x v="4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m/>
    <m/>
    <m/>
    <m/>
  </r>
  <r>
    <n v="47"/>
    <s v="No"/>
    <s v="Travel_Rarely"/>
    <n v="249"/>
    <s v="Sales"/>
    <n v="2"/>
    <n v="2"/>
    <s v="Marketing"/>
    <n v="1"/>
    <n v="903"/>
    <n v="3"/>
    <s v="Female"/>
    <n v="35"/>
    <n v="3"/>
    <n v="2"/>
    <x v="0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m/>
    <m/>
    <m/>
    <m/>
  </r>
  <r>
    <n v="37"/>
    <s v="No"/>
    <s v="Non-Travel"/>
    <n v="1252"/>
    <s v="Sales"/>
    <n v="19"/>
    <n v="2"/>
    <s v="Medical"/>
    <n v="1"/>
    <n v="904"/>
    <n v="1"/>
    <s v="Male"/>
    <n v="32"/>
    <n v="3"/>
    <n v="3"/>
    <x v="0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m/>
    <m/>
    <m/>
    <m/>
  </r>
  <r>
    <n v="50"/>
    <s v="No"/>
    <s v="Non-Travel"/>
    <n v="881"/>
    <s v="Research &amp; Development"/>
    <n v="2"/>
    <n v="4"/>
    <s v="Life Sciences"/>
    <n v="1"/>
    <n v="905"/>
    <n v="1"/>
    <s v="Male"/>
    <n v="98"/>
    <n v="3"/>
    <n v="4"/>
    <x v="5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m/>
    <m/>
    <m/>
    <m/>
  </r>
  <r>
    <n v="39"/>
    <s v="No"/>
    <s v="Travel_Rarely"/>
    <n v="1383"/>
    <s v="Human Resources"/>
    <n v="2"/>
    <n v="3"/>
    <s v="Life Sciences"/>
    <n v="1"/>
    <n v="909"/>
    <n v="4"/>
    <s v="Female"/>
    <n v="42"/>
    <n v="2"/>
    <n v="2"/>
    <x v="8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m/>
    <m/>
    <m/>
    <m/>
  </r>
  <r>
    <n v="33"/>
    <s v="No"/>
    <s v="Travel_Rarely"/>
    <n v="1075"/>
    <s v="Human Resources"/>
    <n v="3"/>
    <n v="2"/>
    <s v="Human Resources"/>
    <n v="1"/>
    <n v="910"/>
    <n v="4"/>
    <s v="Male"/>
    <n v="57"/>
    <n v="3"/>
    <n v="1"/>
    <x v="8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m/>
    <m/>
    <m/>
    <m/>
  </r>
  <r>
    <n v="32"/>
    <s v="Yes"/>
    <s v="Travel_Rarely"/>
    <n v="374"/>
    <s v="Research &amp; Development"/>
    <n v="25"/>
    <n v="4"/>
    <s v="Life Sciences"/>
    <n v="1"/>
    <n v="911"/>
    <n v="1"/>
    <s v="Male"/>
    <n v="87"/>
    <n v="3"/>
    <n v="1"/>
    <x v="2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m/>
    <m/>
    <m/>
    <m/>
  </r>
  <r>
    <n v="29"/>
    <s v="No"/>
    <s v="Travel_Rarely"/>
    <n v="1086"/>
    <s v="Research &amp; Development"/>
    <n v="7"/>
    <n v="1"/>
    <s v="Medical"/>
    <n v="1"/>
    <n v="912"/>
    <n v="1"/>
    <s v="Female"/>
    <n v="62"/>
    <n v="2"/>
    <n v="1"/>
    <x v="2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m/>
    <m/>
    <m/>
    <m/>
  </r>
  <r>
    <n v="44"/>
    <s v="No"/>
    <s v="Travel_Rarely"/>
    <n v="661"/>
    <s v="Research &amp; Development"/>
    <n v="9"/>
    <n v="2"/>
    <s v="Life Sciences"/>
    <n v="1"/>
    <n v="913"/>
    <n v="2"/>
    <s v="Male"/>
    <n v="61"/>
    <n v="3"/>
    <n v="1"/>
    <x v="1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m/>
    <m/>
    <m/>
    <m/>
  </r>
  <r>
    <n v="28"/>
    <s v="No"/>
    <s v="Travel_Rarely"/>
    <n v="821"/>
    <s v="Sales"/>
    <n v="5"/>
    <n v="4"/>
    <s v="Medical"/>
    <n v="1"/>
    <n v="916"/>
    <n v="1"/>
    <s v="Male"/>
    <n v="98"/>
    <n v="3"/>
    <n v="2"/>
    <x v="0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m/>
    <m/>
    <m/>
    <m/>
  </r>
  <r>
    <n v="58"/>
    <s v="Yes"/>
    <s v="Travel_Frequently"/>
    <n v="781"/>
    <s v="Research &amp; Development"/>
    <n v="2"/>
    <n v="1"/>
    <s v="Life Sciences"/>
    <n v="1"/>
    <n v="918"/>
    <n v="4"/>
    <s v="Male"/>
    <n v="57"/>
    <n v="2"/>
    <n v="1"/>
    <x v="2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m/>
    <m/>
    <m/>
    <m/>
  </r>
  <r>
    <n v="43"/>
    <s v="No"/>
    <s v="Travel_Rarely"/>
    <n v="177"/>
    <s v="Research &amp; Development"/>
    <n v="8"/>
    <n v="3"/>
    <s v="Life Sciences"/>
    <n v="1"/>
    <n v="920"/>
    <n v="1"/>
    <s v="Female"/>
    <n v="55"/>
    <n v="3"/>
    <n v="2"/>
    <x v="3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m/>
    <m/>
    <m/>
    <m/>
  </r>
  <r>
    <n v="20"/>
    <s v="Yes"/>
    <s v="Travel_Rarely"/>
    <n v="500"/>
    <s v="Sales"/>
    <n v="2"/>
    <n v="3"/>
    <s v="Medical"/>
    <n v="1"/>
    <n v="922"/>
    <n v="3"/>
    <s v="Female"/>
    <n v="49"/>
    <n v="2"/>
    <n v="1"/>
    <x v="6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m/>
    <m/>
    <m/>
    <m/>
  </r>
  <r>
    <n v="21"/>
    <s v="Yes"/>
    <s v="Travel_Rarely"/>
    <n v="1427"/>
    <s v="Research &amp; Development"/>
    <n v="18"/>
    <n v="1"/>
    <s v="Other"/>
    <n v="1"/>
    <n v="923"/>
    <n v="4"/>
    <s v="Female"/>
    <n v="65"/>
    <n v="3"/>
    <n v="1"/>
    <x v="1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m/>
    <m/>
    <m/>
    <m/>
  </r>
  <r>
    <n v="36"/>
    <s v="No"/>
    <s v="Travel_Rarely"/>
    <n v="1425"/>
    <s v="Research &amp; Development"/>
    <n v="14"/>
    <n v="1"/>
    <s v="Life Sciences"/>
    <n v="1"/>
    <n v="924"/>
    <n v="3"/>
    <s v="Male"/>
    <n v="68"/>
    <n v="3"/>
    <n v="2"/>
    <x v="4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m/>
    <m/>
    <m/>
    <m/>
  </r>
  <r>
    <n v="47"/>
    <s v="No"/>
    <s v="Travel_Rarely"/>
    <n v="1454"/>
    <s v="Sales"/>
    <n v="2"/>
    <n v="4"/>
    <s v="Life Sciences"/>
    <n v="1"/>
    <n v="925"/>
    <n v="4"/>
    <s v="Female"/>
    <n v="65"/>
    <n v="2"/>
    <n v="1"/>
    <x v="6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m/>
    <m/>
    <m/>
    <m/>
  </r>
  <r>
    <n v="22"/>
    <s v="Yes"/>
    <s v="Travel_Rarely"/>
    <n v="617"/>
    <s v="Research &amp; Development"/>
    <n v="3"/>
    <n v="1"/>
    <s v="Life Sciences"/>
    <n v="1"/>
    <n v="926"/>
    <n v="2"/>
    <s v="Female"/>
    <n v="34"/>
    <n v="3"/>
    <n v="2"/>
    <x v="3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m/>
    <m/>
    <m/>
    <m/>
  </r>
  <r>
    <n v="41"/>
    <s v="Yes"/>
    <s v="Travel_Rarely"/>
    <n v="1085"/>
    <s v="Research &amp; Development"/>
    <n v="2"/>
    <n v="4"/>
    <s v="Life Sciences"/>
    <n v="1"/>
    <n v="927"/>
    <n v="2"/>
    <s v="Female"/>
    <n v="57"/>
    <n v="1"/>
    <n v="1"/>
    <x v="2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m/>
    <m/>
    <m/>
    <m/>
  </r>
  <r>
    <n v="28"/>
    <s v="No"/>
    <s v="Travel_Rarely"/>
    <n v="995"/>
    <s v="Research &amp; Development"/>
    <n v="9"/>
    <n v="3"/>
    <s v="Medical"/>
    <n v="1"/>
    <n v="930"/>
    <n v="3"/>
    <s v="Female"/>
    <n v="77"/>
    <n v="3"/>
    <n v="1"/>
    <x v="1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m/>
    <m/>
    <m/>
    <m/>
  </r>
  <r>
    <n v="39"/>
    <s v="Yes"/>
    <s v="Travel_Rarely"/>
    <n v="1122"/>
    <s v="Research &amp; Development"/>
    <n v="6"/>
    <n v="3"/>
    <s v="Medical"/>
    <n v="1"/>
    <n v="932"/>
    <n v="4"/>
    <s v="Male"/>
    <n v="70"/>
    <n v="3"/>
    <n v="1"/>
    <x v="2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m/>
    <m/>
    <m/>
    <m/>
  </r>
  <r>
    <n v="27"/>
    <s v="No"/>
    <s v="Travel_Rarely"/>
    <n v="618"/>
    <s v="Research &amp; Development"/>
    <n v="4"/>
    <n v="3"/>
    <s v="Life Sciences"/>
    <n v="1"/>
    <n v="933"/>
    <n v="2"/>
    <s v="Female"/>
    <n v="76"/>
    <n v="3"/>
    <n v="1"/>
    <x v="1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m/>
    <m/>
    <m/>
    <m/>
  </r>
  <r>
    <n v="34"/>
    <s v="No"/>
    <s v="Travel_Rarely"/>
    <n v="546"/>
    <s v="Research &amp; Development"/>
    <n v="10"/>
    <n v="3"/>
    <s v="Life Sciences"/>
    <n v="1"/>
    <n v="934"/>
    <n v="2"/>
    <s v="Male"/>
    <n v="83"/>
    <n v="3"/>
    <n v="1"/>
    <x v="2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m/>
    <m/>
    <m/>
    <m/>
  </r>
  <r>
    <n v="42"/>
    <s v="No"/>
    <s v="Travel_Rarely"/>
    <n v="462"/>
    <s v="Sales"/>
    <n v="14"/>
    <n v="2"/>
    <s v="Medical"/>
    <n v="1"/>
    <n v="936"/>
    <n v="3"/>
    <s v="Female"/>
    <n v="68"/>
    <n v="2"/>
    <n v="2"/>
    <x v="0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m/>
    <m/>
    <m/>
    <m/>
  </r>
  <r>
    <n v="33"/>
    <s v="No"/>
    <s v="Travel_Rarely"/>
    <n v="1198"/>
    <s v="Research &amp; Development"/>
    <n v="1"/>
    <n v="4"/>
    <s v="Other"/>
    <n v="1"/>
    <n v="939"/>
    <n v="3"/>
    <s v="Male"/>
    <n v="100"/>
    <n v="2"/>
    <n v="1"/>
    <x v="1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m/>
    <m/>
    <m/>
    <m/>
  </r>
  <r>
    <n v="58"/>
    <s v="No"/>
    <s v="Travel_Rarely"/>
    <n v="1272"/>
    <s v="Research &amp; Development"/>
    <n v="5"/>
    <n v="3"/>
    <s v="Technical Degree"/>
    <n v="1"/>
    <n v="940"/>
    <n v="3"/>
    <s v="Female"/>
    <n v="37"/>
    <n v="2"/>
    <n v="3"/>
    <x v="4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m/>
    <m/>
    <m/>
    <m/>
  </r>
  <r>
    <n v="31"/>
    <s v="No"/>
    <s v="Travel_Rarely"/>
    <n v="154"/>
    <s v="Sales"/>
    <n v="7"/>
    <n v="4"/>
    <s v="Life Sciences"/>
    <n v="1"/>
    <n v="941"/>
    <n v="2"/>
    <s v="Male"/>
    <n v="41"/>
    <n v="2"/>
    <n v="1"/>
    <x v="6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m/>
    <m/>
    <m/>
    <m/>
  </r>
  <r>
    <n v="35"/>
    <s v="No"/>
    <s v="Travel_Rarely"/>
    <n v="1137"/>
    <s v="Research &amp; Development"/>
    <n v="21"/>
    <n v="1"/>
    <s v="Life Sciences"/>
    <n v="1"/>
    <n v="942"/>
    <n v="4"/>
    <s v="Female"/>
    <n v="51"/>
    <n v="3"/>
    <n v="2"/>
    <x v="4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m/>
    <m/>
    <m/>
    <m/>
  </r>
  <r>
    <n v="49"/>
    <s v="No"/>
    <s v="Travel_Rarely"/>
    <n v="527"/>
    <s v="Research &amp; Development"/>
    <n v="8"/>
    <n v="2"/>
    <s v="Other"/>
    <n v="1"/>
    <n v="944"/>
    <n v="1"/>
    <s v="Female"/>
    <n v="51"/>
    <n v="3"/>
    <n v="3"/>
    <x v="2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m/>
    <m/>
    <m/>
    <m/>
  </r>
  <r>
    <n v="48"/>
    <s v="No"/>
    <s v="Travel_Rarely"/>
    <n v="1469"/>
    <s v="Research &amp; Development"/>
    <n v="20"/>
    <n v="4"/>
    <s v="Medical"/>
    <n v="1"/>
    <n v="945"/>
    <n v="4"/>
    <s v="Male"/>
    <n v="51"/>
    <n v="3"/>
    <n v="1"/>
    <x v="1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m/>
    <m/>
    <m/>
    <m/>
  </r>
  <r>
    <n v="31"/>
    <s v="No"/>
    <s v="Non-Travel"/>
    <n v="1188"/>
    <s v="Sales"/>
    <n v="20"/>
    <n v="2"/>
    <s v="Marketing"/>
    <n v="1"/>
    <n v="947"/>
    <n v="4"/>
    <s v="Female"/>
    <n v="45"/>
    <n v="3"/>
    <n v="2"/>
    <x v="0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m/>
    <m/>
    <m/>
    <m/>
  </r>
  <r>
    <n v="36"/>
    <s v="No"/>
    <s v="Travel_Rarely"/>
    <n v="188"/>
    <s v="Research &amp; Development"/>
    <n v="7"/>
    <n v="4"/>
    <s v="Other"/>
    <n v="1"/>
    <n v="949"/>
    <n v="2"/>
    <s v="Male"/>
    <n v="65"/>
    <n v="3"/>
    <n v="1"/>
    <x v="1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m/>
    <m/>
    <m/>
    <m/>
  </r>
  <r>
    <n v="38"/>
    <s v="No"/>
    <s v="Travel_Rarely"/>
    <n v="1333"/>
    <s v="Research &amp; Development"/>
    <n v="1"/>
    <n v="3"/>
    <s v="Technical Degree"/>
    <n v="1"/>
    <n v="950"/>
    <n v="4"/>
    <s v="Female"/>
    <n v="80"/>
    <n v="3"/>
    <n v="3"/>
    <x v="7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m/>
    <m/>
    <m/>
    <m/>
  </r>
  <r>
    <n v="32"/>
    <s v="No"/>
    <s v="Non-Travel"/>
    <n v="1184"/>
    <s v="Research &amp; Development"/>
    <n v="1"/>
    <n v="3"/>
    <s v="Life Sciences"/>
    <n v="1"/>
    <n v="951"/>
    <n v="3"/>
    <s v="Female"/>
    <n v="70"/>
    <n v="2"/>
    <n v="1"/>
    <x v="2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m/>
    <m/>
    <m/>
    <m/>
  </r>
  <r>
    <n v="25"/>
    <s v="Yes"/>
    <s v="Travel_Rarely"/>
    <n v="867"/>
    <s v="Sales"/>
    <n v="19"/>
    <n v="2"/>
    <s v="Marketing"/>
    <n v="1"/>
    <n v="952"/>
    <n v="3"/>
    <s v="Male"/>
    <n v="36"/>
    <n v="2"/>
    <n v="1"/>
    <x v="6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m/>
    <m/>
    <m/>
    <m/>
  </r>
  <r>
    <n v="40"/>
    <s v="No"/>
    <s v="Travel_Rarely"/>
    <n v="658"/>
    <s v="Sales"/>
    <n v="10"/>
    <n v="4"/>
    <s v="Marketing"/>
    <n v="1"/>
    <n v="954"/>
    <n v="1"/>
    <s v="Male"/>
    <n v="67"/>
    <n v="2"/>
    <n v="3"/>
    <x v="0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m/>
    <m/>
    <m/>
    <m/>
  </r>
  <r>
    <n v="26"/>
    <s v="No"/>
    <s v="Travel_Frequently"/>
    <n v="1283"/>
    <s v="Sales"/>
    <n v="1"/>
    <n v="3"/>
    <s v="Medical"/>
    <n v="1"/>
    <n v="956"/>
    <n v="3"/>
    <s v="Male"/>
    <n v="52"/>
    <n v="2"/>
    <n v="2"/>
    <x v="0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m/>
    <m/>
    <m/>
    <m/>
  </r>
  <r>
    <n v="41"/>
    <s v="No"/>
    <s v="Travel_Rarely"/>
    <n v="263"/>
    <s v="Research &amp; Development"/>
    <n v="6"/>
    <n v="3"/>
    <s v="Medical"/>
    <n v="1"/>
    <n v="957"/>
    <n v="4"/>
    <s v="Male"/>
    <n v="59"/>
    <n v="3"/>
    <n v="1"/>
    <x v="2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m/>
    <m/>
    <m/>
    <m/>
  </r>
  <r>
    <n v="36"/>
    <s v="No"/>
    <s v="Travel_Rarely"/>
    <n v="938"/>
    <s v="Research &amp; Development"/>
    <n v="2"/>
    <n v="4"/>
    <s v="Medical"/>
    <n v="1"/>
    <n v="958"/>
    <n v="3"/>
    <s v="Male"/>
    <n v="79"/>
    <n v="3"/>
    <n v="1"/>
    <x v="2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m/>
    <m/>
    <m/>
    <m/>
  </r>
  <r>
    <n v="19"/>
    <s v="Yes"/>
    <s v="Travel_Rarely"/>
    <n v="419"/>
    <s v="Sales"/>
    <n v="21"/>
    <n v="3"/>
    <s v="Other"/>
    <n v="1"/>
    <n v="959"/>
    <n v="4"/>
    <s v="Male"/>
    <n v="37"/>
    <n v="2"/>
    <n v="1"/>
    <x v="6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m/>
    <m/>
    <m/>
    <m/>
  </r>
  <r>
    <n v="20"/>
    <s v="Yes"/>
    <s v="Travel_Rarely"/>
    <n v="129"/>
    <s v="Research &amp; Development"/>
    <n v="4"/>
    <n v="3"/>
    <s v="Technical Degree"/>
    <n v="1"/>
    <n v="960"/>
    <n v="1"/>
    <s v="Male"/>
    <n v="84"/>
    <n v="3"/>
    <n v="1"/>
    <x v="2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m/>
    <m/>
    <m/>
    <m/>
  </r>
  <r>
    <n v="31"/>
    <s v="No"/>
    <s v="Travel_Rarely"/>
    <n v="616"/>
    <s v="Research &amp; Development"/>
    <n v="12"/>
    <n v="3"/>
    <s v="Medical"/>
    <n v="1"/>
    <n v="961"/>
    <n v="4"/>
    <s v="Female"/>
    <n v="41"/>
    <n v="3"/>
    <n v="2"/>
    <x v="4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m/>
    <m/>
    <m/>
    <m/>
  </r>
  <r>
    <n v="40"/>
    <s v="No"/>
    <s v="Travel_Frequently"/>
    <n v="1469"/>
    <s v="Research &amp; Development"/>
    <n v="9"/>
    <n v="4"/>
    <s v="Medical"/>
    <n v="1"/>
    <n v="964"/>
    <n v="4"/>
    <s v="Male"/>
    <n v="35"/>
    <n v="3"/>
    <n v="1"/>
    <x v="1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m/>
    <m/>
    <m/>
    <m/>
  </r>
  <r>
    <n v="32"/>
    <s v="No"/>
    <s v="Travel_Rarely"/>
    <n v="498"/>
    <s v="Research &amp; Development"/>
    <n v="3"/>
    <n v="4"/>
    <s v="Medical"/>
    <n v="1"/>
    <n v="966"/>
    <n v="3"/>
    <s v="Female"/>
    <n v="93"/>
    <n v="3"/>
    <n v="2"/>
    <x v="3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m/>
    <m/>
    <m/>
    <m/>
  </r>
  <r>
    <n v="36"/>
    <s v="Yes"/>
    <s v="Travel_Rarely"/>
    <n v="530"/>
    <s v="Sales"/>
    <n v="3"/>
    <n v="1"/>
    <s v="Life Sciences"/>
    <n v="1"/>
    <n v="967"/>
    <n v="3"/>
    <s v="Male"/>
    <n v="51"/>
    <n v="2"/>
    <n v="3"/>
    <x v="0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m/>
    <m/>
    <m/>
    <m/>
  </r>
  <r>
    <n v="33"/>
    <s v="No"/>
    <s v="Travel_Rarely"/>
    <n v="1069"/>
    <s v="Research &amp; Development"/>
    <n v="1"/>
    <n v="3"/>
    <s v="Life Sciences"/>
    <n v="1"/>
    <n v="969"/>
    <n v="2"/>
    <s v="Female"/>
    <n v="42"/>
    <n v="2"/>
    <n v="2"/>
    <x v="4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m/>
    <m/>
    <m/>
    <m/>
  </r>
  <r>
    <n v="37"/>
    <s v="Yes"/>
    <s v="Travel_Rarely"/>
    <n v="625"/>
    <s v="Sales"/>
    <n v="1"/>
    <n v="4"/>
    <s v="Life Sciences"/>
    <n v="1"/>
    <n v="970"/>
    <n v="1"/>
    <s v="Male"/>
    <n v="46"/>
    <n v="2"/>
    <n v="3"/>
    <x v="0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m/>
    <m/>
    <m/>
    <m/>
  </r>
  <r>
    <n v="45"/>
    <s v="No"/>
    <s v="Non-Travel"/>
    <n v="805"/>
    <s v="Research &amp; Development"/>
    <n v="4"/>
    <n v="2"/>
    <s v="Life Sciences"/>
    <n v="1"/>
    <n v="972"/>
    <n v="3"/>
    <s v="Male"/>
    <n v="57"/>
    <n v="3"/>
    <n v="2"/>
    <x v="2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m/>
    <m/>
    <m/>
    <m/>
  </r>
  <r>
    <n v="29"/>
    <s v="No"/>
    <s v="Travel_Frequently"/>
    <n v="1404"/>
    <s v="Sales"/>
    <n v="20"/>
    <n v="3"/>
    <s v="Technical Degree"/>
    <n v="1"/>
    <n v="974"/>
    <n v="3"/>
    <s v="Female"/>
    <n v="84"/>
    <n v="3"/>
    <n v="1"/>
    <x v="6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m/>
    <m/>
    <m/>
    <m/>
  </r>
  <r>
    <n v="35"/>
    <s v="No"/>
    <s v="Travel_Rarely"/>
    <n v="1219"/>
    <s v="Sales"/>
    <n v="18"/>
    <n v="3"/>
    <s v="Medical"/>
    <n v="1"/>
    <n v="975"/>
    <n v="3"/>
    <s v="Female"/>
    <n v="86"/>
    <n v="3"/>
    <n v="2"/>
    <x v="0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m/>
    <m/>
    <m/>
    <m/>
  </r>
  <r>
    <n v="52"/>
    <s v="No"/>
    <s v="Travel_Rarely"/>
    <n v="1053"/>
    <s v="Research &amp; Development"/>
    <n v="1"/>
    <n v="2"/>
    <s v="Life Sciences"/>
    <n v="1"/>
    <n v="976"/>
    <n v="4"/>
    <s v="Male"/>
    <n v="70"/>
    <n v="3"/>
    <n v="4"/>
    <x v="5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m/>
    <m/>
    <m/>
    <m/>
  </r>
  <r>
    <n v="58"/>
    <s v="Yes"/>
    <s v="Travel_Rarely"/>
    <n v="289"/>
    <s v="Research &amp; Development"/>
    <n v="2"/>
    <n v="3"/>
    <s v="Technical Degree"/>
    <n v="1"/>
    <n v="977"/>
    <n v="4"/>
    <s v="Male"/>
    <n v="51"/>
    <n v="3"/>
    <n v="1"/>
    <x v="1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m/>
    <m/>
    <m/>
    <m/>
  </r>
  <r>
    <n v="53"/>
    <s v="No"/>
    <s v="Travel_Rarely"/>
    <n v="1376"/>
    <s v="Sales"/>
    <n v="2"/>
    <n v="2"/>
    <s v="Medical"/>
    <n v="1"/>
    <n v="981"/>
    <n v="3"/>
    <s v="Male"/>
    <n v="45"/>
    <n v="3"/>
    <n v="4"/>
    <x v="5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m/>
    <m/>
    <m/>
    <m/>
  </r>
  <r>
    <n v="30"/>
    <s v="No"/>
    <s v="Travel_Rarely"/>
    <n v="231"/>
    <s v="Sales"/>
    <n v="8"/>
    <n v="2"/>
    <s v="Other"/>
    <n v="1"/>
    <n v="982"/>
    <n v="3"/>
    <s v="Male"/>
    <n v="62"/>
    <n v="3"/>
    <n v="3"/>
    <x v="0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m/>
    <m/>
    <m/>
    <m/>
  </r>
  <r>
    <n v="38"/>
    <s v="No"/>
    <s v="Non-Travel"/>
    <n v="152"/>
    <s v="Sales"/>
    <n v="10"/>
    <n v="3"/>
    <s v="Technical Degree"/>
    <n v="1"/>
    <n v="983"/>
    <n v="3"/>
    <s v="Female"/>
    <n v="85"/>
    <n v="3"/>
    <n v="2"/>
    <x v="0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m/>
    <m/>
    <m/>
    <m/>
  </r>
  <r>
    <n v="35"/>
    <s v="No"/>
    <s v="Travel_Rarely"/>
    <n v="882"/>
    <s v="Sales"/>
    <n v="3"/>
    <n v="4"/>
    <s v="Life Sciences"/>
    <n v="1"/>
    <n v="984"/>
    <n v="4"/>
    <s v="Male"/>
    <n v="92"/>
    <n v="3"/>
    <n v="3"/>
    <x v="0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m/>
    <m/>
    <m/>
    <m/>
  </r>
  <r>
    <n v="39"/>
    <s v="No"/>
    <s v="Travel_Rarely"/>
    <n v="903"/>
    <s v="Sales"/>
    <n v="2"/>
    <n v="5"/>
    <s v="Life Sciences"/>
    <n v="1"/>
    <n v="985"/>
    <n v="1"/>
    <s v="Male"/>
    <n v="41"/>
    <n v="4"/>
    <n v="3"/>
    <x v="0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m/>
    <m/>
    <m/>
    <m/>
  </r>
  <r>
    <n v="40"/>
    <s v="Yes"/>
    <s v="Non-Travel"/>
    <n v="1479"/>
    <s v="Sales"/>
    <n v="24"/>
    <n v="3"/>
    <s v="Life Sciences"/>
    <n v="1"/>
    <n v="986"/>
    <n v="2"/>
    <s v="Female"/>
    <n v="100"/>
    <n v="4"/>
    <n v="4"/>
    <x v="0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m/>
    <m/>
    <m/>
    <m/>
  </r>
  <r>
    <n v="47"/>
    <s v="No"/>
    <s v="Travel_Frequently"/>
    <n v="1379"/>
    <s v="Research &amp; Development"/>
    <n v="16"/>
    <n v="4"/>
    <s v="Medical"/>
    <n v="1"/>
    <n v="987"/>
    <n v="3"/>
    <s v="Male"/>
    <n v="64"/>
    <n v="4"/>
    <n v="2"/>
    <x v="3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m/>
    <m/>
    <m/>
    <m/>
  </r>
  <r>
    <n v="36"/>
    <s v="No"/>
    <s v="Non-Travel"/>
    <n v="1229"/>
    <s v="Sales"/>
    <n v="8"/>
    <n v="4"/>
    <s v="Technical Degree"/>
    <n v="1"/>
    <n v="990"/>
    <n v="1"/>
    <s v="Male"/>
    <n v="84"/>
    <n v="3"/>
    <n v="2"/>
    <x v="0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m/>
    <m/>
    <m/>
    <m/>
  </r>
  <r>
    <n v="31"/>
    <s v="Yes"/>
    <s v="Non-Travel"/>
    <n v="335"/>
    <s v="Research &amp; Development"/>
    <n v="9"/>
    <n v="2"/>
    <s v="Medical"/>
    <n v="1"/>
    <n v="991"/>
    <n v="3"/>
    <s v="Male"/>
    <n v="46"/>
    <n v="2"/>
    <n v="1"/>
    <x v="1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m/>
    <m/>
    <m/>
    <m/>
  </r>
  <r>
    <n v="33"/>
    <s v="No"/>
    <s v="Non-Travel"/>
    <n v="722"/>
    <s v="Sales"/>
    <n v="17"/>
    <n v="3"/>
    <s v="Life Sciences"/>
    <n v="1"/>
    <n v="992"/>
    <n v="4"/>
    <s v="Male"/>
    <n v="38"/>
    <n v="3"/>
    <n v="4"/>
    <x v="5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m/>
    <m/>
    <m/>
    <m/>
  </r>
  <r>
    <n v="29"/>
    <s v="Yes"/>
    <s v="Travel_Rarely"/>
    <n v="906"/>
    <s v="Research &amp; Development"/>
    <n v="10"/>
    <n v="3"/>
    <s v="Life Sciences"/>
    <n v="1"/>
    <n v="994"/>
    <n v="4"/>
    <s v="Female"/>
    <n v="92"/>
    <n v="2"/>
    <n v="1"/>
    <x v="1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m/>
    <m/>
    <m/>
    <m/>
  </r>
  <r>
    <n v="33"/>
    <s v="No"/>
    <s v="Travel_Rarely"/>
    <n v="461"/>
    <s v="Research &amp; Development"/>
    <n v="13"/>
    <n v="1"/>
    <s v="Life Sciences"/>
    <n v="1"/>
    <n v="995"/>
    <n v="2"/>
    <s v="Female"/>
    <n v="53"/>
    <n v="3"/>
    <n v="1"/>
    <x v="1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m/>
    <m/>
    <m/>
    <m/>
  </r>
  <r>
    <n v="45"/>
    <s v="No"/>
    <s v="Travel_Rarely"/>
    <n v="974"/>
    <s v="Research &amp; Development"/>
    <n v="1"/>
    <n v="4"/>
    <s v="Medical"/>
    <n v="1"/>
    <n v="996"/>
    <n v="4"/>
    <s v="Female"/>
    <n v="91"/>
    <n v="3"/>
    <n v="1"/>
    <x v="2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m/>
    <m/>
    <m/>
    <m/>
  </r>
  <r>
    <n v="50"/>
    <s v="No"/>
    <s v="Travel_Rarely"/>
    <n v="1126"/>
    <s v="Research &amp; Development"/>
    <n v="1"/>
    <n v="2"/>
    <s v="Medical"/>
    <n v="1"/>
    <n v="997"/>
    <n v="4"/>
    <s v="Male"/>
    <n v="66"/>
    <n v="3"/>
    <n v="4"/>
    <x v="7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m/>
    <m/>
    <m/>
    <m/>
  </r>
  <r>
    <n v="33"/>
    <s v="No"/>
    <s v="Travel_Frequently"/>
    <n v="827"/>
    <s v="Research &amp; Development"/>
    <n v="1"/>
    <n v="4"/>
    <s v="Other"/>
    <n v="1"/>
    <n v="998"/>
    <n v="3"/>
    <s v="Female"/>
    <n v="84"/>
    <n v="4"/>
    <n v="2"/>
    <x v="4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m/>
    <m/>
    <m/>
    <m/>
  </r>
  <r>
    <n v="41"/>
    <s v="No"/>
    <s v="Travel_Frequently"/>
    <n v="840"/>
    <s v="Research &amp; Development"/>
    <n v="9"/>
    <n v="3"/>
    <s v="Medical"/>
    <n v="1"/>
    <n v="999"/>
    <n v="1"/>
    <s v="Male"/>
    <n v="64"/>
    <n v="3"/>
    <n v="5"/>
    <x v="7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m/>
    <m/>
    <m/>
    <m/>
  </r>
  <r>
    <n v="27"/>
    <s v="No"/>
    <s v="Travel_Rarely"/>
    <n v="1134"/>
    <s v="Research &amp; Development"/>
    <n v="16"/>
    <n v="4"/>
    <s v="Technical Degree"/>
    <n v="1"/>
    <n v="1001"/>
    <n v="3"/>
    <s v="Female"/>
    <n v="37"/>
    <n v="3"/>
    <n v="1"/>
    <x v="2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m/>
    <m/>
    <m/>
    <m/>
  </r>
  <r>
    <n v="45"/>
    <s v="No"/>
    <s v="Non-Travel"/>
    <n v="248"/>
    <s v="Research &amp; Development"/>
    <n v="23"/>
    <n v="2"/>
    <s v="Life Sciences"/>
    <n v="1"/>
    <n v="1002"/>
    <n v="4"/>
    <s v="Male"/>
    <n v="42"/>
    <n v="3"/>
    <n v="2"/>
    <x v="2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m/>
    <m/>
    <m/>
    <m/>
  </r>
  <r>
    <n v="47"/>
    <s v="No"/>
    <s v="Travel_Rarely"/>
    <n v="955"/>
    <s v="Sales"/>
    <n v="4"/>
    <n v="2"/>
    <s v="Life Sciences"/>
    <n v="1"/>
    <n v="1003"/>
    <n v="4"/>
    <s v="Female"/>
    <n v="83"/>
    <n v="3"/>
    <n v="2"/>
    <x v="0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m/>
    <m/>
    <m/>
    <m/>
  </r>
  <r>
    <n v="30"/>
    <s v="Yes"/>
    <s v="Travel_Rarely"/>
    <n v="138"/>
    <s v="Research &amp; Development"/>
    <n v="22"/>
    <n v="3"/>
    <s v="Life Sciences"/>
    <n v="1"/>
    <n v="1004"/>
    <n v="1"/>
    <s v="Female"/>
    <n v="48"/>
    <n v="3"/>
    <n v="1"/>
    <x v="1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m/>
    <m/>
    <m/>
    <m/>
  </r>
  <r>
    <n v="50"/>
    <s v="No"/>
    <s v="Travel_Rarely"/>
    <n v="939"/>
    <s v="Research &amp; Development"/>
    <n v="24"/>
    <n v="3"/>
    <s v="Life Sciences"/>
    <n v="1"/>
    <n v="1005"/>
    <n v="4"/>
    <s v="Male"/>
    <n v="95"/>
    <n v="3"/>
    <n v="4"/>
    <x v="3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m/>
    <m/>
    <m/>
    <m/>
  </r>
  <r>
    <n v="38"/>
    <s v="No"/>
    <s v="Travel_Frequently"/>
    <n v="1391"/>
    <s v="Research &amp; Development"/>
    <n v="10"/>
    <n v="1"/>
    <s v="Medical"/>
    <n v="1"/>
    <n v="1006"/>
    <n v="3"/>
    <s v="Male"/>
    <n v="66"/>
    <n v="3"/>
    <n v="1"/>
    <x v="1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m/>
    <m/>
    <m/>
    <m/>
  </r>
  <r>
    <n v="46"/>
    <s v="No"/>
    <s v="Travel_Rarely"/>
    <n v="566"/>
    <s v="Research &amp; Development"/>
    <n v="7"/>
    <n v="2"/>
    <s v="Medical"/>
    <n v="1"/>
    <n v="1007"/>
    <n v="4"/>
    <s v="Male"/>
    <n v="75"/>
    <n v="3"/>
    <n v="3"/>
    <x v="3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m/>
    <m/>
    <m/>
    <m/>
  </r>
  <r>
    <n v="24"/>
    <s v="No"/>
    <s v="Travel_Rarely"/>
    <n v="1206"/>
    <s v="Research &amp; Development"/>
    <n v="17"/>
    <n v="1"/>
    <s v="Medical"/>
    <n v="1"/>
    <n v="1009"/>
    <n v="4"/>
    <s v="Female"/>
    <n v="41"/>
    <n v="2"/>
    <n v="2"/>
    <x v="3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m/>
    <m/>
    <m/>
    <m/>
  </r>
  <r>
    <n v="35"/>
    <s v="Yes"/>
    <s v="Travel_Rarely"/>
    <n v="622"/>
    <s v="Research &amp; Development"/>
    <n v="14"/>
    <n v="4"/>
    <s v="Other"/>
    <n v="1"/>
    <n v="1010"/>
    <n v="3"/>
    <s v="Male"/>
    <n v="39"/>
    <n v="2"/>
    <n v="1"/>
    <x v="2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m/>
    <m/>
    <m/>
    <m/>
  </r>
  <r>
    <n v="31"/>
    <s v="No"/>
    <s v="Travel_Frequently"/>
    <n v="853"/>
    <s v="Research &amp; Development"/>
    <n v="1"/>
    <n v="1"/>
    <s v="Life Sciences"/>
    <n v="1"/>
    <n v="1011"/>
    <n v="3"/>
    <s v="Female"/>
    <n v="96"/>
    <n v="3"/>
    <n v="2"/>
    <x v="3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m/>
    <m/>
    <m/>
    <m/>
  </r>
  <r>
    <n v="18"/>
    <s v="No"/>
    <s v="Non-Travel"/>
    <n v="287"/>
    <s v="Research &amp; Development"/>
    <n v="5"/>
    <n v="2"/>
    <s v="Life Sciences"/>
    <n v="1"/>
    <n v="1012"/>
    <n v="2"/>
    <s v="Male"/>
    <n v="73"/>
    <n v="3"/>
    <n v="1"/>
    <x v="1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m/>
    <m/>
    <m/>
    <m/>
  </r>
  <r>
    <n v="54"/>
    <s v="No"/>
    <s v="Travel_Rarely"/>
    <n v="1441"/>
    <s v="Research &amp; Development"/>
    <n v="17"/>
    <n v="3"/>
    <s v="Technical Degree"/>
    <n v="1"/>
    <n v="1013"/>
    <n v="3"/>
    <s v="Female"/>
    <n v="56"/>
    <n v="3"/>
    <n v="3"/>
    <x v="3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m/>
    <m/>
    <m/>
    <m/>
  </r>
  <r>
    <n v="35"/>
    <s v="No"/>
    <s v="Travel_Rarely"/>
    <n v="583"/>
    <s v="Research &amp; Development"/>
    <n v="25"/>
    <n v="4"/>
    <s v="Medical"/>
    <n v="1"/>
    <n v="1014"/>
    <n v="3"/>
    <s v="Female"/>
    <n v="57"/>
    <n v="3"/>
    <n v="3"/>
    <x v="4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m/>
    <m/>
    <m/>
    <m/>
  </r>
  <r>
    <n v="30"/>
    <s v="No"/>
    <s v="Travel_Rarely"/>
    <n v="153"/>
    <s v="Research &amp; Development"/>
    <n v="8"/>
    <n v="2"/>
    <s v="Life Sciences"/>
    <n v="1"/>
    <n v="1015"/>
    <n v="2"/>
    <s v="Female"/>
    <n v="73"/>
    <n v="4"/>
    <n v="3"/>
    <x v="7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m/>
    <m/>
    <m/>
    <m/>
  </r>
  <r>
    <n v="20"/>
    <s v="Yes"/>
    <s v="Travel_Rarely"/>
    <n v="1097"/>
    <s v="Research &amp; Development"/>
    <n v="11"/>
    <n v="3"/>
    <s v="Medical"/>
    <n v="1"/>
    <n v="1016"/>
    <n v="4"/>
    <s v="Female"/>
    <n v="98"/>
    <n v="2"/>
    <n v="1"/>
    <x v="1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m/>
    <m/>
    <m/>
    <m/>
  </r>
  <r>
    <n v="30"/>
    <s v="Yes"/>
    <s v="Travel_Frequently"/>
    <n v="109"/>
    <s v="Research &amp; Development"/>
    <n v="5"/>
    <n v="3"/>
    <s v="Medical"/>
    <n v="1"/>
    <n v="1017"/>
    <n v="2"/>
    <s v="Female"/>
    <n v="60"/>
    <n v="3"/>
    <n v="1"/>
    <x v="2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m/>
    <m/>
    <m/>
    <m/>
  </r>
  <r>
    <n v="26"/>
    <s v="No"/>
    <s v="Travel_Rarely"/>
    <n v="1066"/>
    <s v="Research &amp; Development"/>
    <n v="2"/>
    <n v="2"/>
    <s v="Medical"/>
    <n v="1"/>
    <n v="1018"/>
    <n v="4"/>
    <s v="Male"/>
    <n v="32"/>
    <n v="4"/>
    <n v="2"/>
    <x v="3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m/>
    <m/>
    <m/>
    <m/>
  </r>
  <r>
    <n v="22"/>
    <s v="No"/>
    <s v="Travel_Rarely"/>
    <n v="217"/>
    <s v="Research &amp; Development"/>
    <n v="8"/>
    <n v="1"/>
    <s v="Life Sciences"/>
    <n v="1"/>
    <n v="1019"/>
    <n v="2"/>
    <s v="Male"/>
    <n v="94"/>
    <n v="1"/>
    <n v="1"/>
    <x v="2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m/>
    <m/>
    <m/>
    <m/>
  </r>
  <r>
    <n v="48"/>
    <s v="No"/>
    <s v="Travel_Rarely"/>
    <n v="277"/>
    <s v="Research &amp; Development"/>
    <n v="6"/>
    <n v="3"/>
    <s v="Life Sciences"/>
    <n v="1"/>
    <n v="1022"/>
    <n v="1"/>
    <s v="Male"/>
    <n v="97"/>
    <n v="2"/>
    <n v="2"/>
    <x v="4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m/>
    <m/>
    <m/>
    <m/>
  </r>
  <r>
    <n v="48"/>
    <s v="No"/>
    <s v="Travel_Rarely"/>
    <n v="1355"/>
    <s v="Research &amp; Development"/>
    <n v="4"/>
    <n v="4"/>
    <s v="Life Sciences"/>
    <n v="1"/>
    <n v="1024"/>
    <n v="3"/>
    <s v="Male"/>
    <n v="78"/>
    <n v="2"/>
    <n v="3"/>
    <x v="4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m/>
    <m/>
    <m/>
    <m/>
  </r>
  <r>
    <n v="41"/>
    <s v="No"/>
    <s v="Travel_Rarely"/>
    <n v="549"/>
    <s v="Research &amp; Development"/>
    <n v="7"/>
    <n v="2"/>
    <s v="Medical"/>
    <n v="1"/>
    <n v="1025"/>
    <n v="4"/>
    <s v="Female"/>
    <n v="42"/>
    <n v="3"/>
    <n v="2"/>
    <x v="3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m/>
    <m/>
    <m/>
    <m/>
  </r>
  <r>
    <n v="39"/>
    <s v="No"/>
    <s v="Travel_Rarely"/>
    <n v="466"/>
    <s v="Research &amp; Development"/>
    <n v="1"/>
    <n v="1"/>
    <s v="Life Sciences"/>
    <n v="1"/>
    <n v="1026"/>
    <n v="4"/>
    <s v="Female"/>
    <n v="65"/>
    <n v="2"/>
    <n v="4"/>
    <x v="3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m/>
    <m/>
    <m/>
    <m/>
  </r>
  <r>
    <n v="27"/>
    <s v="No"/>
    <s v="Travel_Rarely"/>
    <n v="1055"/>
    <s v="Research &amp; Development"/>
    <n v="2"/>
    <n v="4"/>
    <s v="Life Sciences"/>
    <n v="1"/>
    <n v="1027"/>
    <n v="1"/>
    <s v="Female"/>
    <n v="47"/>
    <n v="3"/>
    <n v="2"/>
    <x v="3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m/>
    <m/>
    <m/>
    <m/>
  </r>
  <r>
    <n v="35"/>
    <s v="No"/>
    <s v="Travel_Rarely"/>
    <n v="802"/>
    <s v="Research &amp; Development"/>
    <n v="10"/>
    <n v="3"/>
    <s v="Other"/>
    <n v="1"/>
    <n v="1028"/>
    <n v="2"/>
    <s v="Male"/>
    <n v="45"/>
    <n v="3"/>
    <n v="1"/>
    <x v="2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m/>
    <m/>
    <m/>
    <m/>
  </r>
  <r>
    <n v="42"/>
    <s v="No"/>
    <s v="Travel_Rarely"/>
    <n v="265"/>
    <s v="Sales"/>
    <n v="5"/>
    <n v="2"/>
    <s v="Marketing"/>
    <n v="1"/>
    <n v="1029"/>
    <n v="4"/>
    <s v="Male"/>
    <n v="90"/>
    <n v="3"/>
    <n v="5"/>
    <x v="5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m/>
    <m/>
    <m/>
    <m/>
  </r>
  <r>
    <n v="50"/>
    <s v="No"/>
    <s v="Travel_Rarely"/>
    <n v="804"/>
    <s v="Research &amp; Development"/>
    <n v="9"/>
    <n v="3"/>
    <s v="Life Sciences"/>
    <n v="1"/>
    <n v="1030"/>
    <n v="1"/>
    <s v="Male"/>
    <n v="64"/>
    <n v="3"/>
    <n v="1"/>
    <x v="2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m/>
    <m/>
    <m/>
    <m/>
  </r>
  <r>
    <n v="59"/>
    <s v="No"/>
    <s v="Travel_Rarely"/>
    <n v="715"/>
    <s v="Research &amp; Development"/>
    <n v="2"/>
    <n v="3"/>
    <s v="Life Sciences"/>
    <n v="1"/>
    <n v="1032"/>
    <n v="3"/>
    <s v="Female"/>
    <n v="69"/>
    <n v="2"/>
    <n v="4"/>
    <x v="3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m/>
    <m/>
    <m/>
    <m/>
  </r>
  <r>
    <n v="37"/>
    <s v="Yes"/>
    <s v="Travel_Rarely"/>
    <n v="1141"/>
    <s v="Research &amp; Development"/>
    <n v="11"/>
    <n v="2"/>
    <s v="Medical"/>
    <n v="1"/>
    <n v="1033"/>
    <n v="1"/>
    <s v="Female"/>
    <n v="61"/>
    <n v="1"/>
    <n v="2"/>
    <x v="4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m/>
    <m/>
    <m/>
    <m/>
  </r>
  <r>
    <n v="55"/>
    <s v="No"/>
    <s v="Travel_Frequently"/>
    <n v="135"/>
    <s v="Research &amp; Development"/>
    <n v="18"/>
    <n v="4"/>
    <s v="Medical"/>
    <n v="1"/>
    <n v="1034"/>
    <n v="3"/>
    <s v="Male"/>
    <n v="62"/>
    <n v="3"/>
    <n v="2"/>
    <x v="4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m/>
    <m/>
    <m/>
    <m/>
  </r>
  <r>
    <n v="41"/>
    <s v="No"/>
    <s v="Non-Travel"/>
    <n v="247"/>
    <s v="Research &amp; Development"/>
    <n v="7"/>
    <n v="1"/>
    <s v="Life Sciences"/>
    <n v="1"/>
    <n v="1035"/>
    <n v="2"/>
    <s v="Female"/>
    <n v="55"/>
    <n v="1"/>
    <n v="5"/>
    <x v="7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m/>
    <m/>
    <m/>
    <m/>
  </r>
  <r>
    <n v="38"/>
    <s v="No"/>
    <s v="Travel_Rarely"/>
    <n v="1035"/>
    <s v="Sales"/>
    <n v="3"/>
    <n v="4"/>
    <s v="Life Sciences"/>
    <n v="1"/>
    <n v="1036"/>
    <n v="2"/>
    <s v="Male"/>
    <n v="42"/>
    <n v="3"/>
    <n v="2"/>
    <x v="0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m/>
    <m/>
    <m/>
    <m/>
  </r>
  <r>
    <n v="26"/>
    <s v="Yes"/>
    <s v="Non-Travel"/>
    <n v="265"/>
    <s v="Sales"/>
    <n v="29"/>
    <n v="2"/>
    <s v="Medical"/>
    <n v="1"/>
    <n v="1037"/>
    <n v="2"/>
    <s v="Male"/>
    <n v="79"/>
    <n v="1"/>
    <n v="2"/>
    <x v="0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m/>
    <m/>
    <m/>
    <m/>
  </r>
  <r>
    <n v="52"/>
    <s v="Yes"/>
    <s v="Travel_Rarely"/>
    <n v="266"/>
    <s v="Sales"/>
    <n v="2"/>
    <n v="1"/>
    <s v="Marketing"/>
    <n v="1"/>
    <n v="1038"/>
    <n v="1"/>
    <s v="Female"/>
    <n v="57"/>
    <n v="1"/>
    <n v="5"/>
    <x v="5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m/>
    <m/>
    <m/>
    <m/>
  </r>
  <r>
    <n v="44"/>
    <s v="No"/>
    <s v="Travel_Rarely"/>
    <n v="1448"/>
    <s v="Sales"/>
    <n v="28"/>
    <n v="3"/>
    <s v="Medical"/>
    <n v="1"/>
    <n v="1039"/>
    <n v="4"/>
    <s v="Female"/>
    <n v="53"/>
    <n v="4"/>
    <n v="4"/>
    <x v="0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m/>
    <m/>
    <m/>
    <m/>
  </r>
  <r>
    <n v="50"/>
    <s v="No"/>
    <s v="Non-Travel"/>
    <n v="145"/>
    <s v="Sales"/>
    <n v="1"/>
    <n v="3"/>
    <s v="Life Sciences"/>
    <n v="1"/>
    <n v="1040"/>
    <n v="4"/>
    <s v="Female"/>
    <n v="95"/>
    <n v="3"/>
    <n v="2"/>
    <x v="0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m/>
    <m/>
    <m/>
    <m/>
  </r>
  <r>
    <n v="36"/>
    <s v="Yes"/>
    <s v="Travel_Rarely"/>
    <n v="885"/>
    <s v="Research &amp; Development"/>
    <n v="16"/>
    <n v="4"/>
    <s v="Life Sciences"/>
    <n v="1"/>
    <n v="1042"/>
    <n v="3"/>
    <s v="Female"/>
    <n v="43"/>
    <n v="4"/>
    <n v="1"/>
    <x v="2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m/>
    <m/>
    <m/>
    <m/>
  </r>
  <r>
    <n v="39"/>
    <s v="No"/>
    <s v="Travel_Frequently"/>
    <n v="945"/>
    <s v="Research &amp; Development"/>
    <n v="22"/>
    <n v="3"/>
    <s v="Medical"/>
    <n v="1"/>
    <n v="1043"/>
    <n v="4"/>
    <s v="Female"/>
    <n v="82"/>
    <n v="3"/>
    <n v="3"/>
    <x v="3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m/>
    <m/>
    <m/>
    <m/>
  </r>
  <r>
    <n v="33"/>
    <s v="No"/>
    <s v="Non-Travel"/>
    <n v="1038"/>
    <s v="Sales"/>
    <n v="8"/>
    <n v="1"/>
    <s v="Life Sciences"/>
    <n v="1"/>
    <n v="1044"/>
    <n v="2"/>
    <s v="Female"/>
    <n v="88"/>
    <n v="2"/>
    <n v="1"/>
    <x v="6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m/>
    <m/>
    <m/>
    <m/>
  </r>
  <r>
    <n v="45"/>
    <s v="No"/>
    <s v="Travel_Rarely"/>
    <n v="1234"/>
    <s v="Sales"/>
    <n v="11"/>
    <n v="2"/>
    <s v="Life Sciences"/>
    <n v="1"/>
    <n v="1045"/>
    <n v="4"/>
    <s v="Female"/>
    <n v="90"/>
    <n v="3"/>
    <n v="4"/>
    <x v="5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m/>
    <m/>
    <m/>
    <m/>
  </r>
  <r>
    <n v="32"/>
    <s v="No"/>
    <s v="Non-Travel"/>
    <n v="1109"/>
    <s v="Research &amp; Development"/>
    <n v="29"/>
    <n v="4"/>
    <s v="Medical"/>
    <n v="1"/>
    <n v="1046"/>
    <n v="4"/>
    <s v="Female"/>
    <n v="69"/>
    <n v="3"/>
    <n v="1"/>
    <x v="2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m/>
    <m/>
    <m/>
    <m/>
  </r>
  <r>
    <n v="34"/>
    <s v="No"/>
    <s v="Travel_Rarely"/>
    <n v="216"/>
    <s v="Sales"/>
    <n v="1"/>
    <n v="4"/>
    <s v="Marketing"/>
    <n v="1"/>
    <n v="1047"/>
    <n v="2"/>
    <s v="Male"/>
    <n v="75"/>
    <n v="4"/>
    <n v="2"/>
    <x v="0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m/>
    <m/>
    <m/>
    <m/>
  </r>
  <r>
    <n v="59"/>
    <s v="No"/>
    <s v="Travel_Rarely"/>
    <n v="1089"/>
    <s v="Sales"/>
    <n v="1"/>
    <n v="2"/>
    <s v="Technical Degree"/>
    <n v="1"/>
    <n v="1048"/>
    <n v="2"/>
    <s v="Male"/>
    <n v="66"/>
    <n v="3"/>
    <n v="3"/>
    <x v="5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m/>
    <m/>
    <m/>
    <m/>
  </r>
  <r>
    <n v="45"/>
    <s v="No"/>
    <s v="Travel_Rarely"/>
    <n v="788"/>
    <s v="Human Resources"/>
    <n v="24"/>
    <n v="4"/>
    <s v="Medical"/>
    <n v="1"/>
    <n v="1049"/>
    <n v="2"/>
    <s v="Male"/>
    <n v="36"/>
    <n v="3"/>
    <n v="1"/>
    <x v="8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m/>
    <m/>
    <m/>
    <m/>
  </r>
  <r>
    <n v="53"/>
    <s v="No"/>
    <s v="Travel_Frequently"/>
    <n v="124"/>
    <s v="Sales"/>
    <n v="2"/>
    <n v="3"/>
    <s v="Marketing"/>
    <n v="1"/>
    <n v="1050"/>
    <n v="3"/>
    <s v="Female"/>
    <n v="38"/>
    <n v="2"/>
    <n v="3"/>
    <x v="0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m/>
    <m/>
    <m/>
    <m/>
  </r>
  <r>
    <n v="36"/>
    <s v="Yes"/>
    <s v="Travel_Rarely"/>
    <n v="660"/>
    <s v="Research &amp; Development"/>
    <n v="15"/>
    <n v="3"/>
    <s v="Other"/>
    <n v="1"/>
    <n v="1052"/>
    <n v="1"/>
    <s v="Male"/>
    <n v="81"/>
    <n v="3"/>
    <n v="2"/>
    <x v="2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m/>
    <m/>
    <m/>
    <m/>
  </r>
  <r>
    <n v="26"/>
    <s v="Yes"/>
    <s v="Travel_Frequently"/>
    <n v="342"/>
    <s v="Research &amp; Development"/>
    <n v="2"/>
    <n v="3"/>
    <s v="Life Sciences"/>
    <n v="1"/>
    <n v="1053"/>
    <n v="1"/>
    <s v="Male"/>
    <n v="57"/>
    <n v="3"/>
    <n v="1"/>
    <x v="1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m/>
    <m/>
    <m/>
    <m/>
  </r>
  <r>
    <n v="34"/>
    <s v="No"/>
    <s v="Travel_Rarely"/>
    <n v="1333"/>
    <s v="Sales"/>
    <n v="10"/>
    <n v="4"/>
    <s v="Life Sciences"/>
    <n v="1"/>
    <n v="1055"/>
    <n v="3"/>
    <s v="Female"/>
    <n v="87"/>
    <n v="3"/>
    <n v="1"/>
    <x v="6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m/>
    <m/>
    <m/>
    <m/>
  </r>
  <r>
    <n v="28"/>
    <s v="No"/>
    <s v="Travel_Rarely"/>
    <n v="1144"/>
    <s v="Sales"/>
    <n v="10"/>
    <n v="1"/>
    <s v="Medical"/>
    <n v="1"/>
    <n v="1056"/>
    <n v="4"/>
    <s v="Male"/>
    <n v="74"/>
    <n v="3"/>
    <n v="1"/>
    <x v="6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m/>
    <m/>
    <m/>
    <m/>
  </r>
  <r>
    <n v="38"/>
    <s v="No"/>
    <s v="Travel_Frequently"/>
    <n v="1186"/>
    <s v="Research &amp; Development"/>
    <n v="3"/>
    <n v="4"/>
    <s v="Other"/>
    <n v="1"/>
    <n v="1060"/>
    <n v="3"/>
    <s v="Male"/>
    <n v="44"/>
    <n v="3"/>
    <n v="1"/>
    <x v="1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m/>
    <m/>
    <m/>
    <m/>
  </r>
  <r>
    <n v="50"/>
    <s v="No"/>
    <s v="Travel_Rarely"/>
    <n v="1464"/>
    <s v="Research &amp; Development"/>
    <n v="2"/>
    <n v="4"/>
    <s v="Medical"/>
    <n v="1"/>
    <n v="1061"/>
    <n v="2"/>
    <s v="Male"/>
    <n v="62"/>
    <n v="3"/>
    <n v="5"/>
    <x v="7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m/>
    <m/>
    <m/>
    <m/>
  </r>
  <r>
    <n v="37"/>
    <s v="No"/>
    <s v="Travel_Rarely"/>
    <n v="124"/>
    <s v="Research &amp; Development"/>
    <n v="3"/>
    <n v="3"/>
    <s v="Other"/>
    <n v="1"/>
    <n v="1062"/>
    <n v="4"/>
    <s v="Female"/>
    <n v="35"/>
    <n v="3"/>
    <n v="2"/>
    <x v="4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m/>
    <m/>
    <m/>
    <m/>
  </r>
  <r>
    <n v="40"/>
    <s v="No"/>
    <s v="Travel_Rarely"/>
    <n v="300"/>
    <s v="Sales"/>
    <n v="26"/>
    <n v="3"/>
    <s v="Marketing"/>
    <n v="1"/>
    <n v="1066"/>
    <n v="3"/>
    <s v="Male"/>
    <n v="74"/>
    <n v="3"/>
    <n v="2"/>
    <x v="0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m/>
    <m/>
    <m/>
    <m/>
  </r>
  <r>
    <n v="26"/>
    <s v="No"/>
    <s v="Travel_Frequently"/>
    <n v="921"/>
    <s v="Research &amp; Development"/>
    <n v="1"/>
    <n v="1"/>
    <s v="Medical"/>
    <n v="1"/>
    <n v="1068"/>
    <n v="1"/>
    <s v="Female"/>
    <n v="66"/>
    <n v="2"/>
    <n v="1"/>
    <x v="1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m/>
    <m/>
    <m/>
    <m/>
  </r>
  <r>
    <n v="46"/>
    <s v="No"/>
    <s v="Travel_Rarely"/>
    <n v="430"/>
    <s v="Research &amp; Development"/>
    <n v="1"/>
    <n v="4"/>
    <s v="Medical"/>
    <n v="1"/>
    <n v="1069"/>
    <n v="4"/>
    <s v="Male"/>
    <n v="40"/>
    <n v="3"/>
    <n v="5"/>
    <x v="7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m/>
    <m/>
    <m/>
    <m/>
  </r>
  <r>
    <n v="54"/>
    <s v="No"/>
    <s v="Travel_Rarely"/>
    <n v="1082"/>
    <s v="Sales"/>
    <n v="2"/>
    <n v="4"/>
    <s v="Life Sciences"/>
    <n v="1"/>
    <n v="1070"/>
    <n v="3"/>
    <s v="Female"/>
    <n v="41"/>
    <n v="2"/>
    <n v="3"/>
    <x v="0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m/>
    <m/>
    <m/>
    <m/>
  </r>
  <r>
    <n v="56"/>
    <s v="No"/>
    <s v="Travel_Frequently"/>
    <n v="1240"/>
    <s v="Research &amp; Development"/>
    <n v="9"/>
    <n v="3"/>
    <s v="Medical"/>
    <n v="1"/>
    <n v="1071"/>
    <n v="1"/>
    <s v="Female"/>
    <n v="63"/>
    <n v="3"/>
    <n v="1"/>
    <x v="1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m/>
    <m/>
    <m/>
    <m/>
  </r>
  <r>
    <n v="36"/>
    <s v="No"/>
    <s v="Travel_Rarely"/>
    <n v="796"/>
    <s v="Research &amp; Development"/>
    <n v="12"/>
    <n v="5"/>
    <s v="Medical"/>
    <n v="1"/>
    <n v="1073"/>
    <n v="4"/>
    <s v="Female"/>
    <n v="51"/>
    <n v="2"/>
    <n v="3"/>
    <x v="3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m/>
    <m/>
    <m/>
    <m/>
  </r>
  <r>
    <n v="55"/>
    <s v="No"/>
    <s v="Non-Travel"/>
    <n v="444"/>
    <s v="Research &amp; Development"/>
    <n v="2"/>
    <n v="1"/>
    <s v="Medical"/>
    <n v="1"/>
    <n v="1074"/>
    <n v="3"/>
    <s v="Male"/>
    <n v="40"/>
    <n v="2"/>
    <n v="4"/>
    <x v="5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m/>
    <m/>
    <m/>
    <m/>
  </r>
  <r>
    <n v="43"/>
    <s v="No"/>
    <s v="Travel_Rarely"/>
    <n v="415"/>
    <s v="Sales"/>
    <n v="25"/>
    <n v="3"/>
    <s v="Medical"/>
    <n v="1"/>
    <n v="1076"/>
    <n v="3"/>
    <s v="Male"/>
    <n v="79"/>
    <n v="2"/>
    <n v="3"/>
    <x v="0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m/>
    <m/>
    <m/>
    <m/>
  </r>
  <r>
    <n v="20"/>
    <s v="Yes"/>
    <s v="Travel_Frequently"/>
    <n v="769"/>
    <s v="Sales"/>
    <n v="9"/>
    <n v="3"/>
    <s v="Marketing"/>
    <n v="1"/>
    <n v="1077"/>
    <n v="4"/>
    <s v="Female"/>
    <n v="54"/>
    <n v="3"/>
    <n v="1"/>
    <x v="6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m/>
    <m/>
    <m/>
    <m/>
  </r>
  <r>
    <n v="21"/>
    <s v="Yes"/>
    <s v="Travel_Rarely"/>
    <n v="1334"/>
    <s v="Research &amp; Development"/>
    <n v="10"/>
    <n v="3"/>
    <s v="Life Sciences"/>
    <n v="1"/>
    <n v="1079"/>
    <n v="3"/>
    <s v="Female"/>
    <n v="36"/>
    <n v="2"/>
    <n v="1"/>
    <x v="2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m/>
    <m/>
    <m/>
    <m/>
  </r>
  <r>
    <n v="46"/>
    <s v="No"/>
    <s v="Travel_Rarely"/>
    <n v="1003"/>
    <s v="Research &amp; Development"/>
    <n v="8"/>
    <n v="4"/>
    <s v="Life Sciences"/>
    <n v="1"/>
    <n v="1080"/>
    <n v="4"/>
    <s v="Female"/>
    <n v="74"/>
    <n v="2"/>
    <n v="2"/>
    <x v="1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m/>
    <m/>
    <m/>
    <m/>
  </r>
  <r>
    <n v="51"/>
    <s v="Yes"/>
    <s v="Travel_Rarely"/>
    <n v="1323"/>
    <s v="Research &amp; Development"/>
    <n v="4"/>
    <n v="4"/>
    <s v="Life Sciences"/>
    <n v="1"/>
    <n v="1081"/>
    <n v="1"/>
    <s v="Male"/>
    <n v="34"/>
    <n v="3"/>
    <n v="1"/>
    <x v="1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m/>
    <m/>
    <m/>
    <m/>
  </r>
  <r>
    <n v="28"/>
    <s v="Yes"/>
    <s v="Non-Travel"/>
    <n v="1366"/>
    <s v="Research &amp; Development"/>
    <n v="24"/>
    <n v="2"/>
    <s v="Technical Degree"/>
    <n v="1"/>
    <n v="1082"/>
    <n v="2"/>
    <s v="Male"/>
    <n v="72"/>
    <n v="2"/>
    <n v="3"/>
    <x v="4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m/>
    <m/>
    <m/>
    <m/>
  </r>
  <r>
    <n v="26"/>
    <s v="No"/>
    <s v="Travel_Rarely"/>
    <n v="192"/>
    <s v="Research &amp; Development"/>
    <n v="1"/>
    <n v="2"/>
    <s v="Medical"/>
    <n v="1"/>
    <n v="1083"/>
    <n v="1"/>
    <s v="Male"/>
    <n v="59"/>
    <n v="2"/>
    <n v="1"/>
    <x v="2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m/>
    <m/>
    <m/>
    <m/>
  </r>
  <r>
    <n v="30"/>
    <s v="No"/>
    <s v="Travel_Rarely"/>
    <n v="1176"/>
    <s v="Research &amp; Development"/>
    <n v="20"/>
    <n v="3"/>
    <s v="Other"/>
    <n v="1"/>
    <n v="1084"/>
    <n v="3"/>
    <s v="Male"/>
    <n v="85"/>
    <n v="3"/>
    <n v="2"/>
    <x v="3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m/>
    <m/>
    <m/>
    <m/>
  </r>
  <r>
    <n v="41"/>
    <s v="No"/>
    <s v="Travel_Rarely"/>
    <n v="509"/>
    <s v="Research &amp; Development"/>
    <n v="7"/>
    <n v="2"/>
    <s v="Technical Degree"/>
    <n v="1"/>
    <n v="1085"/>
    <n v="2"/>
    <s v="Female"/>
    <n v="43"/>
    <n v="4"/>
    <n v="1"/>
    <x v="1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m/>
    <m/>
    <m/>
    <m/>
  </r>
  <r>
    <n v="38"/>
    <s v="No"/>
    <s v="Travel_Rarely"/>
    <n v="330"/>
    <s v="Research &amp; Development"/>
    <n v="17"/>
    <n v="1"/>
    <s v="Life Sciences"/>
    <n v="1"/>
    <n v="1088"/>
    <n v="3"/>
    <s v="Female"/>
    <n v="65"/>
    <n v="2"/>
    <n v="3"/>
    <x v="4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m/>
    <m/>
    <m/>
    <m/>
  </r>
  <r>
    <n v="40"/>
    <s v="No"/>
    <s v="Travel_Rarely"/>
    <n v="1492"/>
    <s v="Research &amp; Development"/>
    <n v="20"/>
    <n v="4"/>
    <s v="Technical Degree"/>
    <n v="1"/>
    <n v="1092"/>
    <n v="1"/>
    <s v="Male"/>
    <n v="61"/>
    <n v="3"/>
    <n v="3"/>
    <x v="4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m/>
    <m/>
    <m/>
    <m/>
  </r>
  <r>
    <n v="27"/>
    <s v="No"/>
    <s v="Non-Travel"/>
    <n v="1277"/>
    <s v="Research &amp; Development"/>
    <n v="8"/>
    <n v="5"/>
    <s v="Life Sciences"/>
    <n v="1"/>
    <n v="1094"/>
    <n v="1"/>
    <s v="Male"/>
    <n v="87"/>
    <n v="1"/>
    <n v="1"/>
    <x v="2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m/>
    <m/>
    <m/>
    <m/>
  </r>
  <r>
    <n v="55"/>
    <s v="No"/>
    <s v="Travel_Frequently"/>
    <n v="1091"/>
    <s v="Research &amp; Development"/>
    <n v="2"/>
    <n v="1"/>
    <s v="Life Sciences"/>
    <n v="1"/>
    <n v="1096"/>
    <n v="4"/>
    <s v="Male"/>
    <n v="65"/>
    <n v="3"/>
    <n v="3"/>
    <x v="3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m/>
    <m/>
    <m/>
    <m/>
  </r>
  <r>
    <n v="28"/>
    <s v="No"/>
    <s v="Travel_Rarely"/>
    <n v="857"/>
    <s v="Research &amp; Development"/>
    <n v="10"/>
    <n v="3"/>
    <s v="Other"/>
    <n v="1"/>
    <n v="1097"/>
    <n v="3"/>
    <s v="Female"/>
    <n v="59"/>
    <n v="3"/>
    <n v="2"/>
    <x v="1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m/>
    <m/>
    <m/>
    <m/>
  </r>
  <r>
    <n v="44"/>
    <s v="Yes"/>
    <s v="Travel_Rarely"/>
    <n v="1376"/>
    <s v="Human Resources"/>
    <n v="1"/>
    <n v="2"/>
    <s v="Medical"/>
    <n v="1"/>
    <n v="1098"/>
    <n v="2"/>
    <s v="Male"/>
    <n v="91"/>
    <n v="2"/>
    <n v="3"/>
    <x v="8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m/>
    <m/>
    <m/>
    <m/>
  </r>
  <r>
    <n v="33"/>
    <s v="No"/>
    <s v="Travel_Rarely"/>
    <n v="654"/>
    <s v="Research &amp; Development"/>
    <n v="5"/>
    <n v="3"/>
    <s v="Life Sciences"/>
    <n v="1"/>
    <n v="1099"/>
    <n v="4"/>
    <s v="Male"/>
    <n v="34"/>
    <n v="2"/>
    <n v="3"/>
    <x v="4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m/>
    <m/>
    <m/>
    <m/>
  </r>
  <r>
    <n v="35"/>
    <s v="Yes"/>
    <s v="Travel_Rarely"/>
    <n v="1204"/>
    <s v="Sales"/>
    <n v="4"/>
    <n v="3"/>
    <s v="Technical Degree"/>
    <n v="1"/>
    <n v="1100"/>
    <n v="4"/>
    <s v="Male"/>
    <n v="86"/>
    <n v="3"/>
    <n v="3"/>
    <x v="0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m/>
    <m/>
    <m/>
    <m/>
  </r>
  <r>
    <n v="33"/>
    <s v="Yes"/>
    <s v="Travel_Frequently"/>
    <n v="827"/>
    <s v="Research &amp; Development"/>
    <n v="29"/>
    <n v="4"/>
    <s v="Medical"/>
    <n v="1"/>
    <n v="1101"/>
    <n v="1"/>
    <s v="Female"/>
    <n v="54"/>
    <n v="2"/>
    <n v="2"/>
    <x v="1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m/>
    <m/>
    <m/>
    <m/>
  </r>
  <r>
    <n v="28"/>
    <s v="No"/>
    <s v="Travel_Rarely"/>
    <n v="895"/>
    <s v="Research &amp; Development"/>
    <n v="15"/>
    <n v="2"/>
    <s v="Life Sciences"/>
    <n v="1"/>
    <n v="1102"/>
    <n v="1"/>
    <s v="Male"/>
    <n v="50"/>
    <n v="3"/>
    <n v="1"/>
    <x v="2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m/>
    <m/>
    <m/>
    <m/>
  </r>
  <r>
    <n v="34"/>
    <s v="No"/>
    <s v="Travel_Frequently"/>
    <n v="618"/>
    <s v="Research &amp; Development"/>
    <n v="3"/>
    <n v="1"/>
    <s v="Life Sciences"/>
    <n v="1"/>
    <n v="1103"/>
    <n v="1"/>
    <s v="Male"/>
    <n v="45"/>
    <n v="3"/>
    <n v="2"/>
    <x v="4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m/>
    <m/>
    <m/>
    <m/>
  </r>
  <r>
    <n v="37"/>
    <s v="No"/>
    <s v="Travel_Rarely"/>
    <n v="309"/>
    <s v="Sales"/>
    <n v="10"/>
    <n v="4"/>
    <s v="Life Sciences"/>
    <n v="1"/>
    <n v="1105"/>
    <n v="4"/>
    <s v="Female"/>
    <n v="88"/>
    <n v="2"/>
    <n v="2"/>
    <x v="0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m/>
    <m/>
    <m/>
    <m/>
  </r>
  <r>
    <n v="25"/>
    <s v="Yes"/>
    <s v="Travel_Rarely"/>
    <n v="1219"/>
    <s v="Research &amp; Development"/>
    <n v="4"/>
    <n v="1"/>
    <s v="Technical Degree"/>
    <n v="1"/>
    <n v="1106"/>
    <n v="4"/>
    <s v="Male"/>
    <n v="32"/>
    <n v="3"/>
    <n v="1"/>
    <x v="2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m/>
    <m/>
    <m/>
    <m/>
  </r>
  <r>
    <n v="26"/>
    <s v="Yes"/>
    <s v="Travel_Rarely"/>
    <n v="1330"/>
    <s v="Research &amp; Development"/>
    <n v="21"/>
    <n v="3"/>
    <s v="Medical"/>
    <n v="1"/>
    <n v="1107"/>
    <n v="1"/>
    <s v="Male"/>
    <n v="37"/>
    <n v="3"/>
    <n v="1"/>
    <x v="2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m/>
    <m/>
    <m/>
    <m/>
  </r>
  <r>
    <n v="33"/>
    <s v="Yes"/>
    <s v="Travel_Rarely"/>
    <n v="1017"/>
    <s v="Research &amp; Development"/>
    <n v="25"/>
    <n v="3"/>
    <s v="Medical"/>
    <n v="1"/>
    <n v="1108"/>
    <n v="1"/>
    <s v="Male"/>
    <n v="55"/>
    <n v="2"/>
    <n v="1"/>
    <x v="1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m/>
    <m/>
    <m/>
    <m/>
  </r>
  <r>
    <n v="42"/>
    <s v="No"/>
    <s v="Travel_Rarely"/>
    <n v="469"/>
    <s v="Research &amp; Development"/>
    <n v="2"/>
    <n v="2"/>
    <s v="Medical"/>
    <n v="1"/>
    <n v="1109"/>
    <n v="4"/>
    <s v="Male"/>
    <n v="35"/>
    <n v="3"/>
    <n v="4"/>
    <x v="5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m/>
    <m/>
    <m/>
    <m/>
  </r>
  <r>
    <n v="28"/>
    <s v="Yes"/>
    <s v="Travel_Frequently"/>
    <n v="1009"/>
    <s v="Research &amp; Development"/>
    <n v="1"/>
    <n v="3"/>
    <s v="Medical"/>
    <n v="1"/>
    <n v="1111"/>
    <n v="1"/>
    <s v="Male"/>
    <n v="45"/>
    <n v="2"/>
    <n v="1"/>
    <x v="2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m/>
    <m/>
    <m/>
    <m/>
  </r>
  <r>
    <n v="50"/>
    <s v="Yes"/>
    <s v="Travel_Frequently"/>
    <n v="959"/>
    <s v="Sales"/>
    <n v="1"/>
    <n v="4"/>
    <s v="Other"/>
    <n v="1"/>
    <n v="1113"/>
    <n v="4"/>
    <s v="Male"/>
    <n v="81"/>
    <n v="3"/>
    <n v="2"/>
    <x v="0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m/>
    <m/>
    <m/>
    <m/>
  </r>
  <r>
    <n v="33"/>
    <s v="No"/>
    <s v="Travel_Frequently"/>
    <n v="970"/>
    <s v="Sales"/>
    <n v="7"/>
    <n v="3"/>
    <s v="Life Sciences"/>
    <n v="1"/>
    <n v="1114"/>
    <n v="4"/>
    <s v="Female"/>
    <n v="30"/>
    <n v="3"/>
    <n v="2"/>
    <x v="0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m/>
    <m/>
    <m/>
    <m/>
  </r>
  <r>
    <n v="34"/>
    <s v="No"/>
    <s v="Non-Travel"/>
    <n v="697"/>
    <s v="Research &amp; Development"/>
    <n v="3"/>
    <n v="4"/>
    <s v="Life Sciences"/>
    <n v="1"/>
    <n v="1115"/>
    <n v="3"/>
    <s v="Male"/>
    <n v="40"/>
    <n v="2"/>
    <n v="1"/>
    <x v="1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m/>
    <m/>
    <m/>
    <m/>
  </r>
  <r>
    <n v="48"/>
    <s v="No"/>
    <s v="Non-Travel"/>
    <n v="1262"/>
    <s v="Research &amp; Development"/>
    <n v="1"/>
    <n v="4"/>
    <s v="Medical"/>
    <n v="1"/>
    <n v="1116"/>
    <n v="1"/>
    <s v="Male"/>
    <n v="35"/>
    <n v="4"/>
    <n v="4"/>
    <x v="5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m/>
    <m/>
    <m/>
    <m/>
  </r>
  <r>
    <n v="45"/>
    <s v="No"/>
    <s v="Non-Travel"/>
    <n v="1050"/>
    <s v="Sales"/>
    <n v="9"/>
    <n v="4"/>
    <s v="Life Sciences"/>
    <n v="1"/>
    <n v="1117"/>
    <n v="2"/>
    <s v="Female"/>
    <n v="65"/>
    <n v="2"/>
    <n v="2"/>
    <x v="0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m/>
    <m/>
    <m/>
    <m/>
  </r>
  <r>
    <n v="52"/>
    <s v="No"/>
    <s v="Travel_Rarely"/>
    <n v="994"/>
    <s v="Research &amp; Development"/>
    <n v="7"/>
    <n v="4"/>
    <s v="Life Sciences"/>
    <n v="1"/>
    <n v="1118"/>
    <n v="2"/>
    <s v="Male"/>
    <n v="87"/>
    <n v="3"/>
    <n v="3"/>
    <x v="4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m/>
    <m/>
    <m/>
    <m/>
  </r>
  <r>
    <n v="38"/>
    <s v="No"/>
    <s v="Travel_Rarely"/>
    <n v="770"/>
    <s v="Sales"/>
    <n v="10"/>
    <n v="4"/>
    <s v="Marketing"/>
    <n v="1"/>
    <n v="1119"/>
    <n v="3"/>
    <s v="Male"/>
    <n v="73"/>
    <n v="2"/>
    <n v="3"/>
    <x v="0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m/>
    <m/>
    <m/>
    <m/>
  </r>
  <r>
    <n v="29"/>
    <s v="No"/>
    <s v="Travel_Rarely"/>
    <n v="1107"/>
    <s v="Research &amp; Development"/>
    <n v="28"/>
    <n v="4"/>
    <s v="Life Sciences"/>
    <n v="1"/>
    <n v="1120"/>
    <n v="3"/>
    <s v="Female"/>
    <n v="93"/>
    <n v="3"/>
    <n v="1"/>
    <x v="1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m/>
    <m/>
    <m/>
    <m/>
  </r>
  <r>
    <n v="28"/>
    <s v="No"/>
    <s v="Travel_Rarely"/>
    <n v="950"/>
    <s v="Research &amp; Development"/>
    <n v="3"/>
    <n v="3"/>
    <s v="Medical"/>
    <n v="1"/>
    <n v="1121"/>
    <n v="4"/>
    <s v="Female"/>
    <n v="93"/>
    <n v="3"/>
    <n v="3"/>
    <x v="3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m/>
    <m/>
    <m/>
    <m/>
  </r>
  <r>
    <n v="46"/>
    <s v="No"/>
    <s v="Travel_Rarely"/>
    <n v="406"/>
    <s v="Sales"/>
    <n v="3"/>
    <n v="1"/>
    <s v="Marketing"/>
    <n v="1"/>
    <n v="1124"/>
    <n v="1"/>
    <s v="Male"/>
    <n v="52"/>
    <n v="3"/>
    <n v="4"/>
    <x v="5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m/>
    <m/>
    <m/>
    <m/>
  </r>
  <r>
    <n v="38"/>
    <s v="No"/>
    <s v="Travel_Rarely"/>
    <n v="130"/>
    <s v="Sales"/>
    <n v="2"/>
    <n v="2"/>
    <s v="Marketing"/>
    <n v="1"/>
    <n v="1125"/>
    <n v="4"/>
    <s v="Male"/>
    <n v="32"/>
    <n v="3"/>
    <n v="3"/>
    <x v="0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m/>
    <m/>
    <m/>
    <m/>
  </r>
  <r>
    <n v="43"/>
    <s v="No"/>
    <s v="Travel_Frequently"/>
    <n v="1082"/>
    <s v="Research &amp; Development"/>
    <n v="27"/>
    <n v="3"/>
    <s v="Life Sciences"/>
    <n v="1"/>
    <n v="1126"/>
    <n v="3"/>
    <s v="Female"/>
    <n v="83"/>
    <n v="3"/>
    <n v="3"/>
    <x v="3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m/>
    <m/>
    <m/>
    <m/>
  </r>
  <r>
    <n v="39"/>
    <s v="Yes"/>
    <s v="Travel_Frequently"/>
    <n v="203"/>
    <s v="Research &amp; Development"/>
    <n v="2"/>
    <n v="3"/>
    <s v="Life Sciences"/>
    <n v="1"/>
    <n v="1127"/>
    <n v="1"/>
    <s v="Male"/>
    <n v="84"/>
    <n v="3"/>
    <n v="4"/>
    <x v="4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m/>
    <m/>
    <m/>
    <m/>
  </r>
  <r>
    <n v="40"/>
    <s v="No"/>
    <s v="Travel_Rarely"/>
    <n v="1308"/>
    <s v="Research &amp; Development"/>
    <n v="14"/>
    <n v="3"/>
    <s v="Medical"/>
    <n v="1"/>
    <n v="1128"/>
    <n v="3"/>
    <s v="Male"/>
    <n v="44"/>
    <n v="2"/>
    <n v="5"/>
    <x v="7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m/>
    <m/>
    <m/>
    <m/>
  </r>
  <r>
    <n v="21"/>
    <s v="No"/>
    <s v="Travel_Rarely"/>
    <n v="984"/>
    <s v="Research &amp; Development"/>
    <n v="1"/>
    <n v="1"/>
    <s v="Technical Degree"/>
    <n v="1"/>
    <n v="1131"/>
    <n v="4"/>
    <s v="Female"/>
    <n v="70"/>
    <n v="2"/>
    <n v="1"/>
    <x v="1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m/>
    <m/>
    <m/>
    <m/>
  </r>
  <r>
    <n v="39"/>
    <s v="No"/>
    <s v="Non-Travel"/>
    <n v="439"/>
    <s v="Research &amp; Development"/>
    <n v="9"/>
    <n v="3"/>
    <s v="Life Sciences"/>
    <n v="1"/>
    <n v="1132"/>
    <n v="3"/>
    <s v="Male"/>
    <n v="70"/>
    <n v="3"/>
    <n v="2"/>
    <x v="2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m/>
    <m/>
    <m/>
    <m/>
  </r>
  <r>
    <n v="36"/>
    <s v="No"/>
    <s v="Non-Travel"/>
    <n v="217"/>
    <s v="Research &amp; Development"/>
    <n v="18"/>
    <n v="4"/>
    <s v="Life Sciences"/>
    <n v="1"/>
    <n v="1133"/>
    <n v="1"/>
    <s v="Male"/>
    <n v="78"/>
    <n v="3"/>
    <n v="2"/>
    <x v="3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m/>
    <m/>
    <m/>
    <m/>
  </r>
  <r>
    <n v="31"/>
    <s v="No"/>
    <s v="Travel_Frequently"/>
    <n v="793"/>
    <s v="Sales"/>
    <n v="20"/>
    <n v="3"/>
    <s v="Life Sciences"/>
    <n v="1"/>
    <n v="1135"/>
    <n v="3"/>
    <s v="Male"/>
    <n v="67"/>
    <n v="4"/>
    <n v="1"/>
    <x v="6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m/>
    <m/>
    <m/>
    <m/>
  </r>
  <r>
    <n v="28"/>
    <s v="No"/>
    <s v="Travel_Rarely"/>
    <n v="1451"/>
    <s v="Research &amp; Development"/>
    <n v="2"/>
    <n v="1"/>
    <s v="Life Sciences"/>
    <n v="1"/>
    <n v="1136"/>
    <n v="1"/>
    <s v="Male"/>
    <n v="67"/>
    <n v="2"/>
    <n v="1"/>
    <x v="1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m/>
    <m/>
    <m/>
    <m/>
  </r>
  <r>
    <n v="35"/>
    <s v="No"/>
    <s v="Travel_Frequently"/>
    <n v="1182"/>
    <s v="Sales"/>
    <n v="11"/>
    <n v="2"/>
    <s v="Marketing"/>
    <n v="1"/>
    <n v="1137"/>
    <n v="4"/>
    <s v="Male"/>
    <n v="54"/>
    <n v="3"/>
    <n v="2"/>
    <x v="0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m/>
    <m/>
    <m/>
    <m/>
  </r>
  <r>
    <n v="49"/>
    <s v="No"/>
    <s v="Travel_Rarely"/>
    <n v="174"/>
    <s v="Sales"/>
    <n v="8"/>
    <n v="4"/>
    <s v="Technical Degree"/>
    <n v="1"/>
    <n v="1138"/>
    <n v="4"/>
    <s v="Male"/>
    <n v="56"/>
    <n v="2"/>
    <n v="4"/>
    <x v="0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m/>
    <m/>
    <m/>
    <m/>
  </r>
  <r>
    <n v="34"/>
    <s v="No"/>
    <s v="Travel_Frequently"/>
    <n v="1003"/>
    <s v="Research &amp; Development"/>
    <n v="2"/>
    <n v="2"/>
    <s v="Life Sciences"/>
    <n v="1"/>
    <n v="1140"/>
    <n v="4"/>
    <s v="Male"/>
    <n v="95"/>
    <n v="3"/>
    <n v="2"/>
    <x v="3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m/>
    <m/>
    <m/>
    <m/>
  </r>
  <r>
    <n v="29"/>
    <s v="No"/>
    <s v="Travel_Frequently"/>
    <n v="490"/>
    <s v="Research &amp; Development"/>
    <n v="10"/>
    <n v="3"/>
    <s v="Life Sciences"/>
    <n v="1"/>
    <n v="1143"/>
    <n v="4"/>
    <s v="Female"/>
    <n v="61"/>
    <n v="3"/>
    <n v="1"/>
    <x v="1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m/>
    <m/>
    <m/>
    <m/>
  </r>
  <r>
    <n v="42"/>
    <s v="No"/>
    <s v="Travel_Rarely"/>
    <n v="188"/>
    <s v="Research &amp; Development"/>
    <n v="29"/>
    <n v="3"/>
    <s v="Medical"/>
    <n v="1"/>
    <n v="1148"/>
    <n v="2"/>
    <s v="Male"/>
    <n v="56"/>
    <n v="1"/>
    <n v="2"/>
    <x v="2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m/>
    <m/>
    <m/>
    <m/>
  </r>
  <r>
    <n v="29"/>
    <s v="No"/>
    <s v="Travel_Rarely"/>
    <n v="718"/>
    <s v="Research &amp; Development"/>
    <n v="8"/>
    <n v="1"/>
    <s v="Medical"/>
    <n v="1"/>
    <n v="1150"/>
    <n v="2"/>
    <s v="Male"/>
    <n v="79"/>
    <n v="2"/>
    <n v="2"/>
    <x v="3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m/>
    <m/>
    <m/>
    <m/>
  </r>
  <r>
    <n v="38"/>
    <s v="No"/>
    <s v="Travel_Rarely"/>
    <n v="433"/>
    <s v="Human Resources"/>
    <n v="1"/>
    <n v="3"/>
    <s v="Human Resources"/>
    <n v="1"/>
    <n v="1152"/>
    <n v="3"/>
    <s v="Male"/>
    <n v="37"/>
    <n v="4"/>
    <n v="1"/>
    <x v="8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m/>
    <m/>
    <m/>
    <m/>
  </r>
  <r>
    <n v="28"/>
    <s v="No"/>
    <s v="Travel_Frequently"/>
    <n v="773"/>
    <s v="Research &amp; Development"/>
    <n v="6"/>
    <n v="3"/>
    <s v="Life Sciences"/>
    <n v="1"/>
    <n v="1154"/>
    <n v="3"/>
    <s v="Male"/>
    <n v="39"/>
    <n v="2"/>
    <n v="1"/>
    <x v="1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m/>
    <m/>
    <m/>
    <m/>
  </r>
  <r>
    <n v="18"/>
    <s v="Yes"/>
    <s v="Non-Travel"/>
    <n v="247"/>
    <s v="Research &amp; Development"/>
    <n v="8"/>
    <n v="1"/>
    <s v="Medical"/>
    <n v="1"/>
    <n v="1156"/>
    <n v="3"/>
    <s v="Male"/>
    <n v="80"/>
    <n v="3"/>
    <n v="1"/>
    <x v="2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m/>
    <m/>
    <m/>
    <m/>
  </r>
  <r>
    <n v="33"/>
    <s v="Yes"/>
    <s v="Travel_Rarely"/>
    <n v="603"/>
    <s v="Sales"/>
    <n v="9"/>
    <n v="4"/>
    <s v="Marketing"/>
    <n v="1"/>
    <n v="1157"/>
    <n v="1"/>
    <s v="Female"/>
    <n v="77"/>
    <n v="3"/>
    <n v="2"/>
    <x v="0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m/>
    <m/>
    <m/>
    <m/>
  </r>
  <r>
    <n v="41"/>
    <s v="No"/>
    <s v="Travel_Rarely"/>
    <n v="167"/>
    <s v="Research &amp; Development"/>
    <n v="12"/>
    <n v="4"/>
    <s v="Life Sciences"/>
    <n v="1"/>
    <n v="1158"/>
    <n v="2"/>
    <s v="Male"/>
    <n v="46"/>
    <n v="3"/>
    <n v="1"/>
    <x v="2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m/>
    <m/>
    <m/>
    <m/>
  </r>
  <r>
    <n v="31"/>
    <s v="Yes"/>
    <s v="Travel_Frequently"/>
    <n v="874"/>
    <s v="Research &amp; Development"/>
    <n v="15"/>
    <n v="3"/>
    <s v="Medical"/>
    <n v="1"/>
    <n v="1160"/>
    <n v="3"/>
    <s v="Male"/>
    <n v="72"/>
    <n v="3"/>
    <n v="1"/>
    <x v="2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m/>
    <m/>
    <m/>
    <m/>
  </r>
  <r>
    <n v="37"/>
    <s v="No"/>
    <s v="Travel_Rarely"/>
    <n v="367"/>
    <s v="Research &amp; Development"/>
    <n v="25"/>
    <n v="2"/>
    <s v="Medical"/>
    <n v="1"/>
    <n v="1161"/>
    <n v="3"/>
    <s v="Female"/>
    <n v="52"/>
    <n v="2"/>
    <n v="2"/>
    <x v="4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m/>
    <m/>
    <m/>
    <m/>
  </r>
  <r>
    <n v="27"/>
    <s v="No"/>
    <s v="Travel_Rarely"/>
    <n v="199"/>
    <s v="Research &amp; Development"/>
    <n v="6"/>
    <n v="3"/>
    <s v="Life Sciences"/>
    <n v="1"/>
    <n v="1162"/>
    <n v="4"/>
    <s v="Male"/>
    <n v="55"/>
    <n v="2"/>
    <n v="1"/>
    <x v="1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m/>
    <m/>
    <m/>
    <m/>
  </r>
  <r>
    <n v="34"/>
    <s v="No"/>
    <s v="Travel_Rarely"/>
    <n v="1400"/>
    <s v="Sales"/>
    <n v="9"/>
    <n v="1"/>
    <s v="Life Sciences"/>
    <n v="1"/>
    <n v="1163"/>
    <n v="2"/>
    <s v="Female"/>
    <n v="70"/>
    <n v="3"/>
    <n v="2"/>
    <x v="0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m/>
    <m/>
    <m/>
    <m/>
  </r>
  <r>
    <n v="35"/>
    <s v="No"/>
    <s v="Travel_Rarely"/>
    <n v="528"/>
    <s v="Human Resources"/>
    <n v="8"/>
    <n v="4"/>
    <s v="Technical Degree"/>
    <n v="1"/>
    <n v="1164"/>
    <n v="3"/>
    <s v="Male"/>
    <n v="100"/>
    <n v="3"/>
    <n v="1"/>
    <x v="8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m/>
    <m/>
    <m/>
    <m/>
  </r>
  <r>
    <n v="29"/>
    <s v="Yes"/>
    <s v="Travel_Rarely"/>
    <n v="408"/>
    <s v="Sales"/>
    <n v="23"/>
    <n v="1"/>
    <s v="Life Sciences"/>
    <n v="1"/>
    <n v="1165"/>
    <n v="4"/>
    <s v="Female"/>
    <n v="45"/>
    <n v="2"/>
    <n v="3"/>
    <x v="0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m/>
    <m/>
    <m/>
    <m/>
  </r>
  <r>
    <n v="40"/>
    <s v="No"/>
    <s v="Travel_Frequently"/>
    <n v="593"/>
    <s v="Research &amp; Development"/>
    <n v="9"/>
    <n v="4"/>
    <s v="Medical"/>
    <n v="1"/>
    <n v="1166"/>
    <n v="2"/>
    <s v="Female"/>
    <n v="88"/>
    <n v="3"/>
    <n v="3"/>
    <x v="7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m/>
    <m/>
    <m/>
    <m/>
  </r>
  <r>
    <n v="42"/>
    <s v="Yes"/>
    <s v="Travel_Frequently"/>
    <n v="481"/>
    <s v="Sales"/>
    <n v="12"/>
    <n v="3"/>
    <s v="Life Sciences"/>
    <n v="1"/>
    <n v="1167"/>
    <n v="3"/>
    <s v="Male"/>
    <n v="44"/>
    <n v="3"/>
    <n v="4"/>
    <x v="0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m/>
    <m/>
    <m/>
    <m/>
  </r>
  <r>
    <n v="42"/>
    <s v="No"/>
    <s v="Travel_Rarely"/>
    <n v="647"/>
    <s v="Sales"/>
    <n v="4"/>
    <n v="4"/>
    <s v="Marketing"/>
    <n v="1"/>
    <n v="1171"/>
    <n v="2"/>
    <s v="Male"/>
    <n v="45"/>
    <n v="3"/>
    <n v="2"/>
    <x v="0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m/>
    <m/>
    <m/>
    <m/>
  </r>
  <r>
    <n v="35"/>
    <s v="No"/>
    <s v="Travel_Rarely"/>
    <n v="982"/>
    <s v="Research &amp; Development"/>
    <n v="1"/>
    <n v="4"/>
    <s v="Medical"/>
    <n v="1"/>
    <n v="1172"/>
    <n v="4"/>
    <s v="Male"/>
    <n v="58"/>
    <n v="2"/>
    <n v="1"/>
    <x v="2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m/>
    <m/>
    <m/>
    <m/>
  </r>
  <r>
    <n v="24"/>
    <s v="No"/>
    <s v="Travel_Rarely"/>
    <n v="477"/>
    <s v="Research &amp; Development"/>
    <n v="24"/>
    <n v="3"/>
    <s v="Medical"/>
    <n v="1"/>
    <n v="1173"/>
    <n v="4"/>
    <s v="Male"/>
    <n v="49"/>
    <n v="3"/>
    <n v="1"/>
    <x v="2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m/>
    <m/>
    <m/>
    <m/>
  </r>
  <r>
    <n v="28"/>
    <s v="Yes"/>
    <s v="Travel_Rarely"/>
    <n v="1485"/>
    <s v="Research &amp; Development"/>
    <n v="12"/>
    <n v="1"/>
    <s v="Life Sciences"/>
    <n v="1"/>
    <n v="1175"/>
    <n v="3"/>
    <s v="Female"/>
    <n v="79"/>
    <n v="3"/>
    <n v="1"/>
    <x v="2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m/>
    <m/>
    <m/>
    <m/>
  </r>
  <r>
    <n v="26"/>
    <s v="No"/>
    <s v="Travel_Rarely"/>
    <n v="1384"/>
    <s v="Research &amp; Development"/>
    <n v="3"/>
    <n v="4"/>
    <s v="Medical"/>
    <n v="1"/>
    <n v="1177"/>
    <n v="1"/>
    <s v="Male"/>
    <n v="82"/>
    <n v="4"/>
    <n v="1"/>
    <x v="2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m/>
    <m/>
    <m/>
    <m/>
  </r>
  <r>
    <n v="30"/>
    <s v="No"/>
    <s v="Travel_Rarely"/>
    <n v="852"/>
    <s v="Sales"/>
    <n v="10"/>
    <n v="3"/>
    <s v="Marketing"/>
    <n v="1"/>
    <n v="1179"/>
    <n v="3"/>
    <s v="Male"/>
    <n v="72"/>
    <n v="2"/>
    <n v="2"/>
    <x v="0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m/>
    <m/>
    <m/>
    <m/>
  </r>
  <r>
    <n v="40"/>
    <s v="No"/>
    <s v="Travel_Frequently"/>
    <n v="902"/>
    <s v="Research &amp; Development"/>
    <n v="26"/>
    <n v="2"/>
    <s v="Medical"/>
    <n v="1"/>
    <n v="1180"/>
    <n v="3"/>
    <s v="Female"/>
    <n v="92"/>
    <n v="2"/>
    <n v="2"/>
    <x v="1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m/>
    <m/>
    <m/>
    <m/>
  </r>
  <r>
    <n v="35"/>
    <s v="No"/>
    <s v="Travel_Rarely"/>
    <n v="819"/>
    <s v="Research &amp; Development"/>
    <n v="2"/>
    <n v="3"/>
    <s v="Life Sciences"/>
    <n v="1"/>
    <n v="1182"/>
    <n v="3"/>
    <s v="Male"/>
    <n v="44"/>
    <n v="2"/>
    <n v="3"/>
    <x v="3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m/>
    <m/>
    <m/>
    <m/>
  </r>
  <r>
    <n v="34"/>
    <s v="No"/>
    <s v="Travel_Frequently"/>
    <n v="669"/>
    <s v="Research &amp; Development"/>
    <n v="1"/>
    <n v="3"/>
    <s v="Medical"/>
    <n v="1"/>
    <n v="1184"/>
    <n v="4"/>
    <s v="Male"/>
    <n v="97"/>
    <n v="2"/>
    <n v="2"/>
    <x v="4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m/>
    <m/>
    <m/>
    <m/>
  </r>
  <r>
    <n v="35"/>
    <s v="No"/>
    <s v="Travel_Frequently"/>
    <n v="636"/>
    <s v="Research &amp; Development"/>
    <n v="4"/>
    <n v="4"/>
    <s v="Other"/>
    <n v="1"/>
    <n v="1185"/>
    <n v="4"/>
    <s v="Male"/>
    <n v="47"/>
    <n v="2"/>
    <n v="1"/>
    <x v="2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m/>
    <m/>
    <m/>
    <m/>
  </r>
  <r>
    <n v="43"/>
    <s v="Yes"/>
    <s v="Travel_Rarely"/>
    <n v="1372"/>
    <s v="Sales"/>
    <n v="9"/>
    <n v="3"/>
    <s v="Marketing"/>
    <n v="1"/>
    <n v="1188"/>
    <n v="1"/>
    <s v="Female"/>
    <n v="85"/>
    <n v="1"/>
    <n v="2"/>
    <x v="0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m/>
    <m/>
    <m/>
    <m/>
  </r>
  <r>
    <n v="32"/>
    <s v="No"/>
    <s v="Non-Travel"/>
    <n v="862"/>
    <s v="Sales"/>
    <n v="2"/>
    <n v="1"/>
    <s v="Life Sciences"/>
    <n v="1"/>
    <n v="1190"/>
    <n v="3"/>
    <s v="Female"/>
    <n v="76"/>
    <n v="3"/>
    <n v="1"/>
    <x v="6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m/>
    <m/>
    <m/>
    <m/>
  </r>
  <r>
    <n v="56"/>
    <s v="No"/>
    <s v="Travel_Rarely"/>
    <n v="718"/>
    <s v="Research &amp; Development"/>
    <n v="4"/>
    <n v="4"/>
    <s v="Technical Degree"/>
    <n v="1"/>
    <n v="1191"/>
    <n v="4"/>
    <s v="Female"/>
    <n v="92"/>
    <n v="3"/>
    <n v="5"/>
    <x v="5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m/>
    <m/>
    <m/>
    <m/>
  </r>
  <r>
    <n v="29"/>
    <s v="No"/>
    <s v="Travel_Rarely"/>
    <n v="1401"/>
    <s v="Research &amp; Development"/>
    <n v="6"/>
    <n v="1"/>
    <s v="Medical"/>
    <n v="1"/>
    <n v="1192"/>
    <n v="2"/>
    <s v="Female"/>
    <n v="54"/>
    <n v="3"/>
    <n v="1"/>
    <x v="2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m/>
    <m/>
    <m/>
    <m/>
  </r>
  <r>
    <n v="19"/>
    <s v="No"/>
    <s v="Travel_Rarely"/>
    <n v="645"/>
    <s v="Research &amp; Development"/>
    <n v="9"/>
    <n v="2"/>
    <s v="Life Sciences"/>
    <n v="1"/>
    <n v="1193"/>
    <n v="3"/>
    <s v="Male"/>
    <n v="54"/>
    <n v="3"/>
    <n v="1"/>
    <x v="1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m/>
    <m/>
    <m/>
    <m/>
  </r>
  <r>
    <n v="45"/>
    <s v="No"/>
    <s v="Travel_Rarely"/>
    <n v="1457"/>
    <s v="Research &amp; Development"/>
    <n v="7"/>
    <n v="3"/>
    <s v="Medical"/>
    <n v="1"/>
    <n v="1195"/>
    <n v="1"/>
    <s v="Female"/>
    <n v="83"/>
    <n v="3"/>
    <n v="1"/>
    <x v="1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m/>
    <m/>
    <m/>
    <m/>
  </r>
  <r>
    <n v="37"/>
    <s v="No"/>
    <s v="Travel_Rarely"/>
    <n v="977"/>
    <s v="Research &amp; Development"/>
    <n v="1"/>
    <n v="3"/>
    <s v="Life Sciences"/>
    <n v="1"/>
    <n v="1196"/>
    <n v="4"/>
    <s v="Female"/>
    <n v="56"/>
    <n v="2"/>
    <n v="2"/>
    <x v="3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m/>
    <m/>
    <m/>
    <m/>
  </r>
  <r>
    <n v="20"/>
    <s v="No"/>
    <s v="Travel_Rarely"/>
    <n v="805"/>
    <s v="Research &amp; Development"/>
    <n v="3"/>
    <n v="3"/>
    <s v="Life Sciences"/>
    <n v="1"/>
    <n v="1198"/>
    <n v="1"/>
    <s v="Male"/>
    <n v="87"/>
    <n v="2"/>
    <n v="1"/>
    <x v="2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m/>
    <m/>
    <m/>
    <m/>
  </r>
  <r>
    <n v="44"/>
    <s v="Yes"/>
    <s v="Travel_Rarely"/>
    <n v="1097"/>
    <s v="Research &amp; Development"/>
    <n v="10"/>
    <n v="4"/>
    <s v="Life Sciences"/>
    <n v="1"/>
    <n v="1200"/>
    <n v="3"/>
    <s v="Male"/>
    <n v="96"/>
    <n v="3"/>
    <n v="1"/>
    <x v="1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m/>
    <m/>
    <m/>
    <m/>
  </r>
  <r>
    <n v="53"/>
    <s v="No"/>
    <s v="Travel_Rarely"/>
    <n v="1223"/>
    <s v="Research &amp; Development"/>
    <n v="7"/>
    <n v="2"/>
    <s v="Medical"/>
    <n v="1"/>
    <n v="1201"/>
    <n v="4"/>
    <s v="Female"/>
    <n v="50"/>
    <n v="3"/>
    <n v="5"/>
    <x v="5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m/>
    <m/>
    <m/>
    <m/>
  </r>
  <r>
    <n v="29"/>
    <s v="No"/>
    <s v="Travel_Rarely"/>
    <n v="942"/>
    <s v="Research &amp; Development"/>
    <n v="15"/>
    <n v="1"/>
    <s v="Life Sciences"/>
    <n v="1"/>
    <n v="1202"/>
    <n v="2"/>
    <s v="Female"/>
    <n v="69"/>
    <n v="1"/>
    <n v="1"/>
    <x v="1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m/>
    <m/>
    <m/>
    <m/>
  </r>
  <r>
    <n v="22"/>
    <s v="Yes"/>
    <s v="Travel_Frequently"/>
    <n v="1256"/>
    <s v="Research &amp; Development"/>
    <n v="3"/>
    <n v="4"/>
    <s v="Life Sciences"/>
    <n v="1"/>
    <n v="1203"/>
    <n v="3"/>
    <s v="Male"/>
    <n v="48"/>
    <n v="2"/>
    <n v="1"/>
    <x v="1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m/>
    <m/>
    <m/>
    <m/>
  </r>
  <r>
    <n v="46"/>
    <s v="No"/>
    <s v="Travel_Rarely"/>
    <n v="1402"/>
    <s v="Sales"/>
    <n v="2"/>
    <n v="3"/>
    <s v="Marketing"/>
    <n v="1"/>
    <n v="1204"/>
    <n v="3"/>
    <s v="Female"/>
    <n v="69"/>
    <n v="3"/>
    <n v="4"/>
    <x v="5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m/>
    <m/>
    <m/>
    <m/>
  </r>
  <r>
    <n v="44"/>
    <s v="No"/>
    <s v="Non-Travel"/>
    <n v="111"/>
    <s v="Research &amp; Development"/>
    <n v="17"/>
    <n v="3"/>
    <s v="Life Sciences"/>
    <n v="1"/>
    <n v="1206"/>
    <n v="4"/>
    <s v="Male"/>
    <n v="74"/>
    <n v="1"/>
    <n v="1"/>
    <x v="1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m/>
    <m/>
    <m/>
    <m/>
  </r>
  <r>
    <n v="33"/>
    <s v="No"/>
    <s v="Travel_Rarely"/>
    <n v="147"/>
    <s v="Human Resources"/>
    <n v="2"/>
    <n v="3"/>
    <s v="Human Resources"/>
    <n v="1"/>
    <n v="1207"/>
    <n v="2"/>
    <s v="Male"/>
    <n v="99"/>
    <n v="3"/>
    <n v="1"/>
    <x v="8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m/>
    <m/>
    <m/>
    <m/>
  </r>
  <r>
    <n v="41"/>
    <s v="Yes"/>
    <s v="Non-Travel"/>
    <n v="906"/>
    <s v="Research &amp; Development"/>
    <n v="5"/>
    <n v="2"/>
    <s v="Life Sciences"/>
    <n v="1"/>
    <n v="1210"/>
    <n v="1"/>
    <s v="Male"/>
    <n v="95"/>
    <n v="2"/>
    <n v="1"/>
    <x v="1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m/>
    <m/>
    <m/>
    <m/>
  </r>
  <r>
    <n v="30"/>
    <s v="No"/>
    <s v="Travel_Rarely"/>
    <n v="1329"/>
    <s v="Sales"/>
    <n v="29"/>
    <n v="4"/>
    <s v="Life Sciences"/>
    <n v="1"/>
    <n v="1211"/>
    <n v="3"/>
    <s v="Male"/>
    <n v="61"/>
    <n v="3"/>
    <n v="2"/>
    <x v="0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m/>
    <m/>
    <m/>
    <m/>
  </r>
  <r>
    <n v="40"/>
    <s v="No"/>
    <s v="Travel_Frequently"/>
    <n v="1184"/>
    <s v="Sales"/>
    <n v="2"/>
    <n v="4"/>
    <s v="Medical"/>
    <n v="1"/>
    <n v="1212"/>
    <n v="2"/>
    <s v="Male"/>
    <n v="62"/>
    <n v="3"/>
    <n v="2"/>
    <x v="0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m/>
    <m/>
    <m/>
    <m/>
  </r>
  <r>
    <n v="50"/>
    <s v="No"/>
    <s v="Travel_Frequently"/>
    <n v="1421"/>
    <s v="Research &amp; Development"/>
    <n v="2"/>
    <n v="3"/>
    <s v="Medical"/>
    <n v="1"/>
    <n v="1215"/>
    <n v="4"/>
    <s v="Female"/>
    <n v="30"/>
    <n v="3"/>
    <n v="4"/>
    <x v="5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m/>
    <m/>
    <m/>
    <m/>
  </r>
  <r>
    <n v="28"/>
    <s v="No"/>
    <s v="Travel_Rarely"/>
    <n v="1179"/>
    <s v="Research &amp; Development"/>
    <n v="19"/>
    <n v="4"/>
    <s v="Medical"/>
    <n v="1"/>
    <n v="1216"/>
    <n v="4"/>
    <s v="Male"/>
    <n v="78"/>
    <n v="2"/>
    <n v="1"/>
    <x v="2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m/>
    <m/>
    <m/>
    <m/>
  </r>
  <r>
    <n v="46"/>
    <s v="No"/>
    <s v="Travel_Rarely"/>
    <n v="1450"/>
    <s v="Research &amp; Development"/>
    <n v="15"/>
    <n v="2"/>
    <s v="Life Sciences"/>
    <n v="1"/>
    <n v="1217"/>
    <n v="4"/>
    <s v="Male"/>
    <n v="52"/>
    <n v="3"/>
    <n v="5"/>
    <x v="7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m/>
    <m/>
    <m/>
    <m/>
  </r>
  <r>
    <n v="35"/>
    <s v="No"/>
    <s v="Travel_Rarely"/>
    <n v="1361"/>
    <s v="Sales"/>
    <n v="17"/>
    <n v="4"/>
    <s v="Life Sciences"/>
    <n v="1"/>
    <n v="1218"/>
    <n v="3"/>
    <s v="Male"/>
    <n v="94"/>
    <n v="3"/>
    <n v="2"/>
    <x v="0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m/>
    <m/>
    <m/>
    <m/>
  </r>
  <r>
    <n v="24"/>
    <s v="Yes"/>
    <s v="Travel_Rarely"/>
    <n v="984"/>
    <s v="Research &amp; Development"/>
    <n v="17"/>
    <n v="2"/>
    <s v="Life Sciences"/>
    <n v="1"/>
    <n v="1219"/>
    <n v="4"/>
    <s v="Female"/>
    <n v="97"/>
    <n v="3"/>
    <n v="1"/>
    <x v="2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m/>
    <m/>
    <m/>
    <m/>
  </r>
  <r>
    <n v="33"/>
    <s v="No"/>
    <s v="Travel_Frequently"/>
    <n v="1146"/>
    <s v="Sales"/>
    <n v="25"/>
    <n v="3"/>
    <s v="Medical"/>
    <n v="1"/>
    <n v="1220"/>
    <n v="2"/>
    <s v="Female"/>
    <n v="82"/>
    <n v="3"/>
    <n v="2"/>
    <x v="0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m/>
    <m/>
    <m/>
    <m/>
  </r>
  <r>
    <n v="36"/>
    <s v="No"/>
    <s v="Travel_Rarely"/>
    <n v="917"/>
    <s v="Research &amp; Development"/>
    <n v="6"/>
    <n v="4"/>
    <s v="Life Sciences"/>
    <n v="1"/>
    <n v="1221"/>
    <n v="3"/>
    <s v="Male"/>
    <n v="60"/>
    <n v="1"/>
    <n v="1"/>
    <x v="2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m/>
    <m/>
    <m/>
    <m/>
  </r>
  <r>
    <n v="30"/>
    <s v="No"/>
    <s v="Travel_Rarely"/>
    <n v="853"/>
    <s v="Research &amp; Development"/>
    <n v="7"/>
    <n v="4"/>
    <s v="Life Sciences"/>
    <n v="1"/>
    <n v="1224"/>
    <n v="3"/>
    <s v="Male"/>
    <n v="49"/>
    <n v="3"/>
    <n v="2"/>
    <x v="2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m/>
    <m/>
    <m/>
    <m/>
  </r>
  <r>
    <n v="44"/>
    <s v="No"/>
    <s v="Travel_Rarely"/>
    <n v="200"/>
    <s v="Research &amp; Development"/>
    <n v="29"/>
    <n v="4"/>
    <s v="Other"/>
    <n v="1"/>
    <n v="1225"/>
    <n v="4"/>
    <s v="Male"/>
    <n v="32"/>
    <n v="3"/>
    <n v="2"/>
    <x v="1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m/>
    <m/>
    <m/>
    <m/>
  </r>
  <r>
    <n v="20"/>
    <s v="No"/>
    <s v="Travel_Rarely"/>
    <n v="654"/>
    <s v="Sales"/>
    <n v="21"/>
    <n v="3"/>
    <s v="Marketing"/>
    <n v="1"/>
    <n v="1226"/>
    <n v="3"/>
    <s v="Male"/>
    <n v="43"/>
    <n v="4"/>
    <n v="1"/>
    <x v="6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m/>
    <m/>
    <m/>
    <m/>
  </r>
  <r>
    <n v="46"/>
    <s v="No"/>
    <s v="Travel_Rarely"/>
    <n v="150"/>
    <s v="Research &amp; Development"/>
    <n v="2"/>
    <n v="4"/>
    <s v="Technical Degree"/>
    <n v="1"/>
    <n v="1228"/>
    <n v="4"/>
    <s v="Male"/>
    <n v="60"/>
    <n v="3"/>
    <n v="2"/>
    <x v="3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m/>
    <m/>
    <m/>
    <m/>
  </r>
  <r>
    <n v="42"/>
    <s v="No"/>
    <s v="Non-Travel"/>
    <n v="179"/>
    <s v="Human Resources"/>
    <n v="2"/>
    <n v="5"/>
    <s v="Medical"/>
    <n v="1"/>
    <n v="1231"/>
    <n v="4"/>
    <s v="Male"/>
    <n v="79"/>
    <n v="4"/>
    <n v="2"/>
    <x v="8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m/>
    <m/>
    <m/>
    <m/>
  </r>
  <r>
    <n v="60"/>
    <s v="No"/>
    <s v="Travel_Rarely"/>
    <n v="696"/>
    <s v="Sales"/>
    <n v="7"/>
    <n v="4"/>
    <s v="Marketing"/>
    <n v="1"/>
    <n v="1233"/>
    <n v="2"/>
    <s v="Male"/>
    <n v="52"/>
    <n v="4"/>
    <n v="2"/>
    <x v="0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m/>
    <m/>
    <m/>
    <m/>
  </r>
  <r>
    <n v="32"/>
    <s v="No"/>
    <s v="Travel_Frequently"/>
    <n v="116"/>
    <s v="Research &amp; Development"/>
    <n v="13"/>
    <n v="3"/>
    <s v="Other"/>
    <n v="1"/>
    <n v="1234"/>
    <n v="3"/>
    <s v="Female"/>
    <n v="77"/>
    <n v="2"/>
    <n v="1"/>
    <x v="2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m/>
    <m/>
    <m/>
    <m/>
  </r>
  <r>
    <n v="32"/>
    <s v="No"/>
    <s v="Travel_Frequently"/>
    <n v="1316"/>
    <s v="Research &amp; Development"/>
    <n v="2"/>
    <n v="2"/>
    <s v="Life Sciences"/>
    <n v="1"/>
    <n v="1235"/>
    <n v="4"/>
    <s v="Female"/>
    <n v="38"/>
    <n v="3"/>
    <n v="2"/>
    <x v="1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m/>
    <m/>
    <m/>
    <m/>
  </r>
  <r>
    <n v="36"/>
    <s v="No"/>
    <s v="Travel_Rarely"/>
    <n v="363"/>
    <s v="Research &amp; Development"/>
    <n v="1"/>
    <n v="3"/>
    <s v="Technical Degree"/>
    <n v="1"/>
    <n v="1237"/>
    <n v="3"/>
    <s v="Female"/>
    <n v="77"/>
    <n v="1"/>
    <n v="3"/>
    <x v="3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m/>
    <m/>
    <m/>
    <m/>
  </r>
  <r>
    <n v="33"/>
    <s v="No"/>
    <s v="Travel_Rarely"/>
    <n v="117"/>
    <s v="Research &amp; Development"/>
    <n v="9"/>
    <n v="3"/>
    <s v="Medical"/>
    <n v="1"/>
    <n v="1238"/>
    <n v="1"/>
    <s v="Male"/>
    <n v="60"/>
    <n v="3"/>
    <n v="1"/>
    <x v="1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m/>
    <m/>
    <m/>
    <m/>
  </r>
  <r>
    <n v="40"/>
    <s v="No"/>
    <s v="Travel_Rarely"/>
    <n v="107"/>
    <s v="Sales"/>
    <n v="10"/>
    <n v="3"/>
    <s v="Technical Degree"/>
    <n v="1"/>
    <n v="1239"/>
    <n v="2"/>
    <s v="Female"/>
    <n v="84"/>
    <n v="2"/>
    <n v="2"/>
    <x v="0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m/>
    <m/>
    <m/>
    <m/>
  </r>
  <r>
    <n v="25"/>
    <s v="No"/>
    <s v="Travel_Rarely"/>
    <n v="1356"/>
    <s v="Sales"/>
    <n v="10"/>
    <n v="4"/>
    <s v="Life Sciences"/>
    <n v="1"/>
    <n v="1240"/>
    <n v="3"/>
    <s v="Male"/>
    <n v="57"/>
    <n v="3"/>
    <n v="2"/>
    <x v="0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m/>
    <m/>
    <m/>
    <m/>
  </r>
  <r>
    <n v="30"/>
    <s v="No"/>
    <s v="Travel_Rarely"/>
    <n v="1465"/>
    <s v="Research &amp; Development"/>
    <n v="1"/>
    <n v="3"/>
    <s v="Medical"/>
    <n v="1"/>
    <n v="1241"/>
    <n v="4"/>
    <s v="Male"/>
    <n v="63"/>
    <n v="3"/>
    <n v="1"/>
    <x v="1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m/>
    <m/>
    <m/>
    <m/>
  </r>
  <r>
    <n v="42"/>
    <s v="No"/>
    <s v="Travel_Frequently"/>
    <n v="458"/>
    <s v="Research &amp; Development"/>
    <n v="26"/>
    <n v="5"/>
    <s v="Medical"/>
    <n v="1"/>
    <n v="1242"/>
    <n v="1"/>
    <s v="Female"/>
    <n v="60"/>
    <n v="3"/>
    <n v="3"/>
    <x v="7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m/>
    <m/>
    <m/>
    <m/>
  </r>
  <r>
    <n v="35"/>
    <s v="No"/>
    <s v="Non-Travel"/>
    <n v="1212"/>
    <s v="Sales"/>
    <n v="8"/>
    <n v="2"/>
    <s v="Marketing"/>
    <n v="1"/>
    <n v="1243"/>
    <n v="3"/>
    <s v="Female"/>
    <n v="78"/>
    <n v="2"/>
    <n v="3"/>
    <x v="0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m/>
    <m/>
    <m/>
    <m/>
  </r>
  <r>
    <n v="27"/>
    <s v="No"/>
    <s v="Travel_Rarely"/>
    <n v="1103"/>
    <s v="Research &amp; Development"/>
    <n v="14"/>
    <n v="3"/>
    <s v="Life Sciences"/>
    <n v="1"/>
    <n v="1244"/>
    <n v="1"/>
    <s v="Male"/>
    <n v="42"/>
    <n v="3"/>
    <n v="1"/>
    <x v="1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m/>
    <m/>
    <m/>
    <m/>
  </r>
  <r>
    <n v="54"/>
    <s v="No"/>
    <s v="Travel_Frequently"/>
    <n v="966"/>
    <s v="Research &amp; Development"/>
    <n v="1"/>
    <n v="4"/>
    <s v="Life Sciences"/>
    <n v="1"/>
    <n v="1245"/>
    <n v="4"/>
    <s v="Female"/>
    <n v="53"/>
    <n v="3"/>
    <n v="3"/>
    <x v="3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m/>
    <m/>
    <m/>
    <m/>
  </r>
  <r>
    <n v="44"/>
    <s v="No"/>
    <s v="Travel_Rarely"/>
    <n v="1117"/>
    <s v="Research &amp; Development"/>
    <n v="2"/>
    <n v="1"/>
    <s v="Life Sciences"/>
    <n v="1"/>
    <n v="1246"/>
    <n v="1"/>
    <s v="Female"/>
    <n v="72"/>
    <n v="4"/>
    <n v="1"/>
    <x v="1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m/>
    <m/>
    <m/>
    <m/>
  </r>
  <r>
    <n v="19"/>
    <s v="Yes"/>
    <s v="Non-Travel"/>
    <n v="504"/>
    <s v="Research &amp; Development"/>
    <n v="10"/>
    <n v="3"/>
    <s v="Medical"/>
    <n v="1"/>
    <n v="1248"/>
    <n v="1"/>
    <s v="Female"/>
    <n v="96"/>
    <n v="2"/>
    <n v="1"/>
    <x v="1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m/>
    <m/>
    <m/>
    <m/>
  </r>
  <r>
    <n v="29"/>
    <s v="No"/>
    <s v="Travel_Rarely"/>
    <n v="1010"/>
    <s v="Research &amp; Development"/>
    <n v="1"/>
    <n v="3"/>
    <s v="Life Sciences"/>
    <n v="1"/>
    <n v="1249"/>
    <n v="1"/>
    <s v="Female"/>
    <n v="97"/>
    <n v="3"/>
    <n v="1"/>
    <x v="1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m/>
    <m/>
    <m/>
    <m/>
  </r>
  <r>
    <n v="54"/>
    <s v="No"/>
    <s v="Travel_Rarely"/>
    <n v="685"/>
    <s v="Research &amp; Development"/>
    <n v="3"/>
    <n v="3"/>
    <s v="Life Sciences"/>
    <n v="1"/>
    <n v="1250"/>
    <n v="4"/>
    <s v="Male"/>
    <n v="85"/>
    <n v="3"/>
    <n v="4"/>
    <x v="7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m/>
    <m/>
    <m/>
    <m/>
  </r>
  <r>
    <n v="31"/>
    <s v="No"/>
    <s v="Travel_Rarely"/>
    <n v="1332"/>
    <s v="Research &amp; Development"/>
    <n v="11"/>
    <n v="2"/>
    <s v="Medical"/>
    <n v="1"/>
    <n v="1251"/>
    <n v="3"/>
    <s v="Male"/>
    <n v="80"/>
    <n v="3"/>
    <n v="2"/>
    <x v="4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m/>
    <m/>
    <m/>
    <m/>
  </r>
  <r>
    <n v="31"/>
    <s v="No"/>
    <s v="Travel_Rarely"/>
    <n v="1062"/>
    <s v="Research &amp; Development"/>
    <n v="24"/>
    <n v="3"/>
    <s v="Medical"/>
    <n v="1"/>
    <n v="1252"/>
    <n v="3"/>
    <s v="Female"/>
    <n v="96"/>
    <n v="2"/>
    <n v="2"/>
    <x v="4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m/>
    <m/>
    <m/>
    <m/>
  </r>
  <r>
    <n v="59"/>
    <s v="No"/>
    <s v="Travel_Rarely"/>
    <n v="326"/>
    <s v="Sales"/>
    <n v="3"/>
    <n v="3"/>
    <s v="Life Sciences"/>
    <n v="1"/>
    <n v="1254"/>
    <n v="3"/>
    <s v="Female"/>
    <n v="48"/>
    <n v="2"/>
    <n v="2"/>
    <x v="0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m/>
    <m/>
    <m/>
    <m/>
  </r>
  <r>
    <n v="43"/>
    <s v="No"/>
    <s v="Travel_Rarely"/>
    <n v="920"/>
    <s v="Research &amp; Development"/>
    <n v="3"/>
    <n v="3"/>
    <s v="Life Sciences"/>
    <n v="1"/>
    <n v="1255"/>
    <n v="3"/>
    <s v="Male"/>
    <n v="96"/>
    <n v="1"/>
    <n v="5"/>
    <x v="7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m/>
    <m/>
    <m/>
    <m/>
  </r>
  <r>
    <n v="49"/>
    <s v="No"/>
    <s v="Travel_Rarely"/>
    <n v="1098"/>
    <s v="Research &amp; Development"/>
    <n v="4"/>
    <n v="2"/>
    <s v="Medical"/>
    <n v="1"/>
    <n v="1256"/>
    <n v="1"/>
    <s v="Male"/>
    <n v="85"/>
    <n v="2"/>
    <n v="5"/>
    <x v="5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m/>
    <m/>
    <m/>
    <m/>
  </r>
  <r>
    <n v="36"/>
    <s v="No"/>
    <s v="Travel_Frequently"/>
    <n v="469"/>
    <s v="Research &amp; Development"/>
    <n v="3"/>
    <n v="3"/>
    <s v="Technical Degree"/>
    <n v="1"/>
    <n v="1257"/>
    <n v="3"/>
    <s v="Male"/>
    <n v="46"/>
    <n v="3"/>
    <n v="1"/>
    <x v="1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m/>
    <m/>
    <m/>
    <m/>
  </r>
  <r>
    <n v="48"/>
    <s v="No"/>
    <s v="Travel_Rarely"/>
    <n v="969"/>
    <s v="Research &amp; Development"/>
    <n v="2"/>
    <n v="2"/>
    <s v="Technical Degree"/>
    <n v="1"/>
    <n v="1258"/>
    <n v="4"/>
    <s v="Male"/>
    <n v="76"/>
    <n v="4"/>
    <n v="1"/>
    <x v="2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m/>
    <m/>
    <m/>
    <m/>
  </r>
  <r>
    <n v="27"/>
    <s v="No"/>
    <s v="Travel_Rarely"/>
    <n v="1167"/>
    <s v="Research &amp; Development"/>
    <n v="4"/>
    <n v="2"/>
    <s v="Life Sciences"/>
    <n v="1"/>
    <n v="1259"/>
    <n v="1"/>
    <s v="Male"/>
    <n v="76"/>
    <n v="3"/>
    <n v="1"/>
    <x v="1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m/>
    <m/>
    <m/>
    <m/>
  </r>
  <r>
    <n v="29"/>
    <s v="No"/>
    <s v="Travel_Rarely"/>
    <n v="1329"/>
    <s v="Research &amp; Development"/>
    <n v="7"/>
    <n v="3"/>
    <s v="Life Sciences"/>
    <n v="1"/>
    <n v="1260"/>
    <n v="3"/>
    <s v="Male"/>
    <n v="82"/>
    <n v="3"/>
    <n v="2"/>
    <x v="4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m/>
    <m/>
    <m/>
    <m/>
  </r>
  <r>
    <n v="48"/>
    <s v="No"/>
    <s v="Travel_Rarely"/>
    <n v="715"/>
    <s v="Research &amp; Development"/>
    <n v="1"/>
    <n v="3"/>
    <s v="Life Sciences"/>
    <n v="1"/>
    <n v="1263"/>
    <n v="4"/>
    <s v="Male"/>
    <n v="76"/>
    <n v="2"/>
    <n v="5"/>
    <x v="7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m/>
    <m/>
    <m/>
    <m/>
  </r>
  <r>
    <n v="29"/>
    <s v="No"/>
    <s v="Travel_Rarely"/>
    <n v="694"/>
    <s v="Research &amp; Development"/>
    <n v="1"/>
    <n v="3"/>
    <s v="Life Sciences"/>
    <n v="1"/>
    <n v="1264"/>
    <n v="4"/>
    <s v="Female"/>
    <n v="87"/>
    <n v="2"/>
    <n v="4"/>
    <x v="7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m/>
    <m/>
    <m/>
    <m/>
  </r>
  <r>
    <n v="34"/>
    <s v="No"/>
    <s v="Travel_Rarely"/>
    <n v="1320"/>
    <s v="Research &amp; Development"/>
    <n v="20"/>
    <n v="3"/>
    <s v="Technical Degree"/>
    <n v="1"/>
    <n v="1265"/>
    <n v="3"/>
    <s v="Female"/>
    <n v="89"/>
    <n v="4"/>
    <n v="1"/>
    <x v="1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m/>
    <m/>
    <m/>
    <m/>
  </r>
  <r>
    <n v="44"/>
    <s v="No"/>
    <s v="Travel_Rarely"/>
    <n v="1099"/>
    <s v="Sales"/>
    <n v="5"/>
    <n v="3"/>
    <s v="Marketing"/>
    <n v="1"/>
    <n v="1267"/>
    <n v="2"/>
    <s v="Male"/>
    <n v="88"/>
    <n v="3"/>
    <n v="5"/>
    <x v="5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m/>
    <m/>
    <m/>
    <m/>
  </r>
  <r>
    <n v="33"/>
    <s v="No"/>
    <s v="Travel_Rarely"/>
    <n v="536"/>
    <s v="Sales"/>
    <n v="10"/>
    <n v="5"/>
    <s v="Marketing"/>
    <n v="1"/>
    <n v="1268"/>
    <n v="4"/>
    <s v="Male"/>
    <n v="82"/>
    <n v="4"/>
    <n v="3"/>
    <x v="0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m/>
    <m/>
    <m/>
    <m/>
  </r>
  <r>
    <n v="19"/>
    <s v="No"/>
    <s v="Travel_Rarely"/>
    <n v="265"/>
    <s v="Research &amp; Development"/>
    <n v="25"/>
    <n v="3"/>
    <s v="Life Sciences"/>
    <n v="1"/>
    <n v="1269"/>
    <n v="2"/>
    <s v="Female"/>
    <n v="57"/>
    <n v="4"/>
    <n v="1"/>
    <x v="1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m/>
    <m/>
    <m/>
    <m/>
  </r>
  <r>
    <n v="23"/>
    <s v="No"/>
    <s v="Travel_Rarely"/>
    <n v="373"/>
    <s v="Research &amp; Development"/>
    <n v="1"/>
    <n v="2"/>
    <s v="Life Sciences"/>
    <n v="1"/>
    <n v="1270"/>
    <n v="4"/>
    <s v="Male"/>
    <n v="47"/>
    <n v="3"/>
    <n v="1"/>
    <x v="1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m/>
    <m/>
    <m/>
    <m/>
  </r>
  <r>
    <n v="25"/>
    <s v="Yes"/>
    <s v="Travel_Frequently"/>
    <n v="599"/>
    <s v="Sales"/>
    <n v="24"/>
    <n v="1"/>
    <s v="Life Sciences"/>
    <n v="1"/>
    <n v="1273"/>
    <n v="3"/>
    <s v="Male"/>
    <n v="73"/>
    <n v="1"/>
    <n v="1"/>
    <x v="6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m/>
    <m/>
    <m/>
    <m/>
  </r>
  <r>
    <n v="26"/>
    <s v="No"/>
    <s v="Travel_Rarely"/>
    <n v="583"/>
    <s v="Research &amp; Development"/>
    <n v="4"/>
    <n v="2"/>
    <s v="Life Sciences"/>
    <n v="1"/>
    <n v="1275"/>
    <n v="3"/>
    <s v="Male"/>
    <n v="53"/>
    <n v="3"/>
    <n v="1"/>
    <x v="1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m/>
    <m/>
    <m/>
    <m/>
  </r>
  <r>
    <n v="45"/>
    <s v="Yes"/>
    <s v="Travel_Rarely"/>
    <n v="1449"/>
    <s v="Sales"/>
    <n v="2"/>
    <n v="3"/>
    <s v="Marketing"/>
    <n v="1"/>
    <n v="1277"/>
    <n v="1"/>
    <s v="Female"/>
    <n v="94"/>
    <n v="1"/>
    <n v="5"/>
    <x v="5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m/>
    <m/>
    <m/>
    <m/>
  </r>
  <r>
    <n v="55"/>
    <s v="No"/>
    <s v="Non-Travel"/>
    <n v="177"/>
    <s v="Research &amp; Development"/>
    <n v="8"/>
    <n v="1"/>
    <s v="Medical"/>
    <n v="1"/>
    <n v="1278"/>
    <n v="4"/>
    <s v="Male"/>
    <n v="37"/>
    <n v="2"/>
    <n v="4"/>
    <x v="4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m/>
    <m/>
    <m/>
    <m/>
  </r>
  <r>
    <n v="21"/>
    <s v="Yes"/>
    <s v="Travel_Frequently"/>
    <n v="251"/>
    <s v="Research &amp; Development"/>
    <n v="10"/>
    <n v="2"/>
    <s v="Life Sciences"/>
    <n v="1"/>
    <n v="1279"/>
    <n v="1"/>
    <s v="Female"/>
    <n v="45"/>
    <n v="2"/>
    <n v="1"/>
    <x v="2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m/>
    <m/>
    <m/>
    <m/>
  </r>
  <r>
    <n v="46"/>
    <s v="No"/>
    <s v="Travel_Rarely"/>
    <n v="168"/>
    <s v="Sales"/>
    <n v="4"/>
    <n v="2"/>
    <s v="Marketing"/>
    <n v="1"/>
    <n v="1280"/>
    <n v="4"/>
    <s v="Female"/>
    <n v="33"/>
    <n v="2"/>
    <n v="5"/>
    <x v="5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m/>
    <m/>
    <m/>
    <m/>
  </r>
  <r>
    <n v="34"/>
    <s v="No"/>
    <s v="Travel_Rarely"/>
    <n v="131"/>
    <s v="Sales"/>
    <n v="2"/>
    <n v="3"/>
    <s v="Marketing"/>
    <n v="1"/>
    <n v="1281"/>
    <n v="3"/>
    <s v="Female"/>
    <n v="86"/>
    <n v="3"/>
    <n v="2"/>
    <x v="0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m/>
    <m/>
    <m/>
    <m/>
  </r>
  <r>
    <n v="51"/>
    <s v="No"/>
    <s v="Travel_Frequently"/>
    <n v="237"/>
    <s v="Sales"/>
    <n v="9"/>
    <n v="3"/>
    <s v="Life Sciences"/>
    <n v="1"/>
    <n v="1282"/>
    <n v="4"/>
    <s v="Male"/>
    <n v="83"/>
    <n v="3"/>
    <n v="5"/>
    <x v="5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m/>
    <m/>
    <m/>
    <m/>
  </r>
  <r>
    <n v="59"/>
    <s v="No"/>
    <s v="Travel_Rarely"/>
    <n v="1429"/>
    <s v="Research &amp; Development"/>
    <n v="18"/>
    <n v="4"/>
    <s v="Medical"/>
    <n v="1"/>
    <n v="1283"/>
    <n v="4"/>
    <s v="Male"/>
    <n v="67"/>
    <n v="3"/>
    <n v="3"/>
    <x v="3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m/>
    <m/>
    <m/>
    <m/>
  </r>
  <r>
    <n v="34"/>
    <s v="No"/>
    <s v="Travel_Frequently"/>
    <n v="135"/>
    <s v="Research &amp; Development"/>
    <n v="19"/>
    <n v="3"/>
    <s v="Medical"/>
    <n v="1"/>
    <n v="1285"/>
    <n v="3"/>
    <s v="Female"/>
    <n v="46"/>
    <n v="3"/>
    <n v="2"/>
    <x v="2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m/>
    <m/>
    <m/>
    <m/>
  </r>
  <r>
    <n v="28"/>
    <s v="No"/>
    <s v="Travel_Frequently"/>
    <n v="791"/>
    <s v="Research &amp; Development"/>
    <n v="1"/>
    <n v="4"/>
    <s v="Medical"/>
    <n v="1"/>
    <n v="1286"/>
    <n v="4"/>
    <s v="Male"/>
    <n v="44"/>
    <n v="3"/>
    <n v="1"/>
    <x v="2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m/>
    <m/>
    <m/>
    <m/>
  </r>
  <r>
    <n v="44"/>
    <s v="No"/>
    <s v="Travel_Rarely"/>
    <n v="1199"/>
    <s v="Research &amp; Development"/>
    <n v="4"/>
    <n v="2"/>
    <s v="Life Sciences"/>
    <n v="1"/>
    <n v="1288"/>
    <n v="3"/>
    <s v="Male"/>
    <n v="92"/>
    <n v="4"/>
    <n v="5"/>
    <x v="5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m/>
    <m/>
    <m/>
    <m/>
  </r>
  <r>
    <n v="34"/>
    <s v="No"/>
    <s v="Travel_Frequently"/>
    <n v="648"/>
    <s v="Human Resources"/>
    <n v="11"/>
    <n v="3"/>
    <s v="Life Sciences"/>
    <n v="1"/>
    <n v="1289"/>
    <n v="3"/>
    <s v="Male"/>
    <n v="56"/>
    <n v="2"/>
    <n v="2"/>
    <x v="8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m/>
    <m/>
    <m/>
    <m/>
  </r>
  <r>
    <n v="35"/>
    <s v="No"/>
    <s v="Travel_Rarely"/>
    <n v="735"/>
    <s v="Research &amp; Development"/>
    <n v="6"/>
    <n v="1"/>
    <s v="Life Sciences"/>
    <n v="1"/>
    <n v="1291"/>
    <n v="3"/>
    <s v="Male"/>
    <n v="66"/>
    <n v="3"/>
    <n v="1"/>
    <x v="1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m/>
    <m/>
    <m/>
    <m/>
  </r>
  <r>
    <n v="42"/>
    <s v="No"/>
    <s v="Travel_Rarely"/>
    <n v="603"/>
    <s v="Research &amp; Development"/>
    <n v="7"/>
    <n v="4"/>
    <s v="Medical"/>
    <n v="1"/>
    <n v="1292"/>
    <n v="2"/>
    <s v="Female"/>
    <n v="78"/>
    <n v="4"/>
    <n v="2"/>
    <x v="1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m/>
    <m/>
    <m/>
    <m/>
  </r>
  <r>
    <n v="43"/>
    <s v="No"/>
    <s v="Travel_Rarely"/>
    <n v="531"/>
    <s v="Sales"/>
    <n v="4"/>
    <n v="4"/>
    <s v="Marketing"/>
    <n v="1"/>
    <n v="1293"/>
    <n v="4"/>
    <s v="Female"/>
    <n v="56"/>
    <n v="2"/>
    <n v="3"/>
    <x v="0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m/>
    <m/>
    <m/>
    <m/>
  </r>
  <r>
    <n v="36"/>
    <s v="No"/>
    <s v="Travel_Rarely"/>
    <n v="429"/>
    <s v="Research &amp; Development"/>
    <n v="2"/>
    <n v="4"/>
    <s v="Life Sciences"/>
    <n v="1"/>
    <n v="1294"/>
    <n v="3"/>
    <s v="Female"/>
    <n v="53"/>
    <n v="3"/>
    <n v="2"/>
    <x v="3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m/>
    <m/>
    <m/>
    <m/>
  </r>
  <r>
    <n v="44"/>
    <s v="Yes"/>
    <s v="Travel_Rarely"/>
    <n v="621"/>
    <s v="Research &amp; Development"/>
    <n v="15"/>
    <n v="3"/>
    <s v="Medical"/>
    <n v="1"/>
    <n v="1295"/>
    <n v="1"/>
    <s v="Female"/>
    <n v="73"/>
    <n v="3"/>
    <n v="3"/>
    <x v="4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m/>
    <m/>
    <m/>
    <m/>
  </r>
  <r>
    <n v="28"/>
    <s v="No"/>
    <s v="Travel_Frequently"/>
    <n v="193"/>
    <s v="Research &amp; Development"/>
    <n v="2"/>
    <n v="3"/>
    <s v="Life Sciences"/>
    <n v="1"/>
    <n v="1296"/>
    <n v="4"/>
    <s v="Male"/>
    <n v="52"/>
    <n v="2"/>
    <n v="1"/>
    <x v="2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m/>
    <m/>
    <m/>
    <m/>
  </r>
  <r>
    <n v="51"/>
    <s v="No"/>
    <s v="Travel_Frequently"/>
    <n v="968"/>
    <s v="Research &amp; Development"/>
    <n v="6"/>
    <n v="2"/>
    <s v="Medical"/>
    <n v="1"/>
    <n v="1297"/>
    <n v="2"/>
    <s v="Female"/>
    <n v="40"/>
    <n v="2"/>
    <n v="1"/>
    <x v="2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m/>
    <m/>
    <m/>
    <m/>
  </r>
  <r>
    <n v="30"/>
    <s v="No"/>
    <s v="Non-Travel"/>
    <n v="879"/>
    <s v="Research &amp; Development"/>
    <n v="9"/>
    <n v="2"/>
    <s v="Medical"/>
    <n v="1"/>
    <n v="1298"/>
    <n v="3"/>
    <s v="Female"/>
    <n v="72"/>
    <n v="3"/>
    <n v="2"/>
    <x v="3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m/>
    <m/>
    <m/>
    <m/>
  </r>
  <r>
    <n v="29"/>
    <s v="Yes"/>
    <s v="Travel_Rarely"/>
    <n v="806"/>
    <s v="Research &amp; Development"/>
    <n v="7"/>
    <n v="3"/>
    <s v="Technical Degree"/>
    <n v="1"/>
    <n v="1299"/>
    <n v="2"/>
    <s v="Female"/>
    <n v="39"/>
    <n v="3"/>
    <n v="1"/>
    <x v="2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m/>
    <m/>
    <m/>
    <m/>
  </r>
  <r>
    <n v="28"/>
    <s v="No"/>
    <s v="Travel_Rarely"/>
    <n v="640"/>
    <s v="Research &amp; Development"/>
    <n v="1"/>
    <n v="3"/>
    <s v="Technical Degree"/>
    <n v="1"/>
    <n v="1301"/>
    <n v="4"/>
    <s v="Male"/>
    <n v="84"/>
    <n v="3"/>
    <n v="1"/>
    <x v="1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m/>
    <m/>
    <m/>
    <m/>
  </r>
  <r>
    <n v="25"/>
    <s v="No"/>
    <s v="Travel_Rarely"/>
    <n v="266"/>
    <s v="Research &amp; Development"/>
    <n v="1"/>
    <n v="3"/>
    <s v="Medical"/>
    <n v="1"/>
    <n v="1303"/>
    <n v="4"/>
    <s v="Female"/>
    <n v="40"/>
    <n v="3"/>
    <n v="1"/>
    <x v="1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m/>
    <m/>
    <m/>
    <m/>
  </r>
  <r>
    <n v="32"/>
    <s v="No"/>
    <s v="Travel_Rarely"/>
    <n v="604"/>
    <s v="Sales"/>
    <n v="8"/>
    <n v="3"/>
    <s v="Medical"/>
    <n v="1"/>
    <n v="1304"/>
    <n v="3"/>
    <s v="Male"/>
    <n v="56"/>
    <n v="4"/>
    <n v="2"/>
    <x v="0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m/>
    <m/>
    <m/>
    <m/>
  </r>
  <r>
    <n v="45"/>
    <s v="No"/>
    <s v="Travel_Frequently"/>
    <n v="364"/>
    <s v="Research &amp; Development"/>
    <n v="25"/>
    <n v="3"/>
    <s v="Medical"/>
    <n v="1"/>
    <n v="1306"/>
    <n v="2"/>
    <s v="Female"/>
    <n v="83"/>
    <n v="3"/>
    <n v="5"/>
    <x v="5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m/>
    <m/>
    <m/>
    <m/>
  </r>
  <r>
    <n v="39"/>
    <s v="No"/>
    <s v="Travel_Rarely"/>
    <n v="412"/>
    <s v="Research &amp; Development"/>
    <n v="13"/>
    <n v="4"/>
    <s v="Medical"/>
    <n v="1"/>
    <n v="1307"/>
    <n v="3"/>
    <s v="Female"/>
    <n v="94"/>
    <n v="2"/>
    <n v="4"/>
    <x v="5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m/>
    <m/>
    <m/>
    <m/>
  </r>
  <r>
    <n v="58"/>
    <s v="No"/>
    <s v="Travel_Rarely"/>
    <n v="848"/>
    <s v="Research &amp; Development"/>
    <n v="23"/>
    <n v="4"/>
    <s v="Life Sciences"/>
    <n v="1"/>
    <n v="1308"/>
    <n v="1"/>
    <s v="Male"/>
    <n v="88"/>
    <n v="3"/>
    <n v="1"/>
    <x v="1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m/>
    <m/>
    <m/>
    <m/>
  </r>
  <r>
    <n v="32"/>
    <s v="Yes"/>
    <s v="Travel_Rarely"/>
    <n v="1089"/>
    <s v="Research &amp; Development"/>
    <n v="7"/>
    <n v="2"/>
    <s v="Life Sciences"/>
    <n v="1"/>
    <n v="1309"/>
    <n v="4"/>
    <s v="Male"/>
    <n v="79"/>
    <n v="3"/>
    <n v="2"/>
    <x v="2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m/>
    <m/>
    <m/>
    <m/>
  </r>
  <r>
    <n v="39"/>
    <s v="Yes"/>
    <s v="Travel_Rarely"/>
    <n v="360"/>
    <s v="Research &amp; Development"/>
    <n v="23"/>
    <n v="3"/>
    <s v="Medical"/>
    <n v="1"/>
    <n v="1310"/>
    <n v="3"/>
    <s v="Male"/>
    <n v="93"/>
    <n v="3"/>
    <n v="1"/>
    <x v="1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m/>
    <m/>
    <m/>
    <m/>
  </r>
  <r>
    <n v="30"/>
    <s v="No"/>
    <s v="Travel_Rarely"/>
    <n v="1138"/>
    <s v="Research &amp; Development"/>
    <n v="6"/>
    <n v="3"/>
    <s v="Technical Degree"/>
    <n v="1"/>
    <n v="1311"/>
    <n v="1"/>
    <s v="Female"/>
    <n v="48"/>
    <n v="2"/>
    <n v="2"/>
    <x v="2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m/>
    <m/>
    <m/>
    <m/>
  </r>
  <r>
    <n v="36"/>
    <s v="No"/>
    <s v="Travel_Rarely"/>
    <n v="325"/>
    <s v="Research &amp; Development"/>
    <n v="10"/>
    <n v="4"/>
    <s v="Technical Degree"/>
    <n v="1"/>
    <n v="1312"/>
    <n v="4"/>
    <s v="Female"/>
    <n v="63"/>
    <n v="3"/>
    <n v="3"/>
    <x v="4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m/>
    <m/>
    <m/>
    <m/>
  </r>
  <r>
    <n v="46"/>
    <s v="No"/>
    <s v="Travel_Rarely"/>
    <n v="991"/>
    <s v="Human Resources"/>
    <n v="1"/>
    <n v="2"/>
    <s v="Life Sciences"/>
    <n v="1"/>
    <n v="1314"/>
    <n v="4"/>
    <s v="Female"/>
    <n v="44"/>
    <n v="3"/>
    <n v="1"/>
    <x v="8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m/>
    <m/>
    <m/>
    <m/>
  </r>
  <r>
    <n v="28"/>
    <s v="No"/>
    <s v="Non-Travel"/>
    <n v="1476"/>
    <s v="Research &amp; Development"/>
    <n v="1"/>
    <n v="3"/>
    <s v="Life Sciences"/>
    <n v="1"/>
    <n v="1315"/>
    <n v="3"/>
    <s v="Female"/>
    <n v="55"/>
    <n v="1"/>
    <n v="2"/>
    <x v="2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m/>
    <m/>
    <m/>
    <m/>
  </r>
  <r>
    <n v="50"/>
    <s v="No"/>
    <s v="Travel_Rarely"/>
    <n v="1322"/>
    <s v="Research &amp; Development"/>
    <n v="28"/>
    <n v="3"/>
    <s v="Life Sciences"/>
    <n v="1"/>
    <n v="1317"/>
    <n v="4"/>
    <s v="Female"/>
    <n v="43"/>
    <n v="3"/>
    <n v="4"/>
    <x v="7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m/>
    <m/>
    <m/>
    <m/>
  </r>
  <r>
    <n v="40"/>
    <s v="Yes"/>
    <s v="Travel_Rarely"/>
    <n v="299"/>
    <s v="Sales"/>
    <n v="25"/>
    <n v="4"/>
    <s v="Marketing"/>
    <n v="1"/>
    <n v="1318"/>
    <n v="4"/>
    <s v="Male"/>
    <n v="57"/>
    <n v="2"/>
    <n v="3"/>
    <x v="0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m/>
    <m/>
    <m/>
    <m/>
  </r>
  <r>
    <n v="52"/>
    <s v="Yes"/>
    <s v="Travel_Rarely"/>
    <n v="1030"/>
    <s v="Sales"/>
    <n v="5"/>
    <n v="3"/>
    <s v="Life Sciences"/>
    <n v="1"/>
    <n v="1319"/>
    <n v="2"/>
    <s v="Male"/>
    <n v="64"/>
    <n v="3"/>
    <n v="3"/>
    <x v="0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m/>
    <m/>
    <m/>
    <m/>
  </r>
  <r>
    <n v="30"/>
    <s v="No"/>
    <s v="Travel_Rarely"/>
    <n v="634"/>
    <s v="Research &amp; Development"/>
    <n v="17"/>
    <n v="4"/>
    <s v="Medical"/>
    <n v="1"/>
    <n v="1321"/>
    <n v="2"/>
    <s v="Female"/>
    <n v="95"/>
    <n v="3"/>
    <n v="3"/>
    <x v="5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m/>
    <m/>
    <m/>
    <m/>
  </r>
  <r>
    <n v="39"/>
    <s v="No"/>
    <s v="Travel_Rarely"/>
    <n v="524"/>
    <s v="Research &amp; Development"/>
    <n v="18"/>
    <n v="2"/>
    <s v="Life Sciences"/>
    <n v="1"/>
    <n v="1322"/>
    <n v="1"/>
    <s v="Male"/>
    <n v="32"/>
    <n v="3"/>
    <n v="2"/>
    <x v="3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m/>
    <m/>
    <m/>
    <m/>
  </r>
  <r>
    <n v="31"/>
    <s v="No"/>
    <s v="Non-Travel"/>
    <n v="587"/>
    <s v="Sales"/>
    <n v="2"/>
    <n v="4"/>
    <s v="Life Sciences"/>
    <n v="1"/>
    <n v="1324"/>
    <n v="4"/>
    <s v="Female"/>
    <n v="57"/>
    <n v="3"/>
    <n v="3"/>
    <x v="0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m/>
    <m/>
    <m/>
    <m/>
  </r>
  <r>
    <n v="41"/>
    <s v="No"/>
    <s v="Non-Travel"/>
    <n v="256"/>
    <s v="Sales"/>
    <n v="10"/>
    <n v="2"/>
    <s v="Medical"/>
    <n v="1"/>
    <n v="1329"/>
    <n v="3"/>
    <s v="Male"/>
    <n v="40"/>
    <n v="1"/>
    <n v="2"/>
    <x v="0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m/>
    <m/>
    <m/>
    <m/>
  </r>
  <r>
    <n v="31"/>
    <s v="Yes"/>
    <s v="Travel_Frequently"/>
    <n v="1060"/>
    <s v="Sales"/>
    <n v="1"/>
    <n v="3"/>
    <s v="Life Sciences"/>
    <n v="1"/>
    <n v="1331"/>
    <n v="4"/>
    <s v="Female"/>
    <n v="54"/>
    <n v="3"/>
    <n v="1"/>
    <x v="6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m/>
    <m/>
    <m/>
    <m/>
  </r>
  <r>
    <n v="44"/>
    <s v="Yes"/>
    <s v="Travel_Rarely"/>
    <n v="935"/>
    <s v="Research &amp; Development"/>
    <n v="3"/>
    <n v="3"/>
    <s v="Life Sciences"/>
    <n v="1"/>
    <n v="1333"/>
    <n v="1"/>
    <s v="Male"/>
    <n v="89"/>
    <n v="3"/>
    <n v="1"/>
    <x v="2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m/>
    <m/>
    <m/>
    <m/>
  </r>
  <r>
    <n v="42"/>
    <s v="No"/>
    <s v="Non-Travel"/>
    <n v="495"/>
    <s v="Research &amp; Development"/>
    <n v="2"/>
    <n v="1"/>
    <s v="Life Sciences"/>
    <n v="1"/>
    <n v="1334"/>
    <n v="3"/>
    <s v="Male"/>
    <n v="37"/>
    <n v="3"/>
    <n v="4"/>
    <x v="5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m/>
    <m/>
    <m/>
    <m/>
  </r>
  <r>
    <n v="55"/>
    <s v="No"/>
    <s v="Travel_Rarely"/>
    <n v="282"/>
    <s v="Research &amp; Development"/>
    <n v="2"/>
    <n v="2"/>
    <s v="Medical"/>
    <n v="1"/>
    <n v="1336"/>
    <n v="4"/>
    <s v="Female"/>
    <n v="58"/>
    <n v="1"/>
    <n v="5"/>
    <x v="5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m/>
    <m/>
    <m/>
    <m/>
  </r>
  <r>
    <n v="56"/>
    <s v="No"/>
    <s v="Travel_Rarely"/>
    <n v="206"/>
    <s v="Human Resources"/>
    <n v="8"/>
    <n v="4"/>
    <s v="Life Sciences"/>
    <n v="1"/>
    <n v="1338"/>
    <n v="4"/>
    <s v="Male"/>
    <n v="99"/>
    <n v="3"/>
    <n v="5"/>
    <x v="5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m/>
    <m/>
    <m/>
    <m/>
  </r>
  <r>
    <n v="40"/>
    <s v="No"/>
    <s v="Non-Travel"/>
    <n v="458"/>
    <s v="Research &amp; Development"/>
    <n v="16"/>
    <n v="2"/>
    <s v="Life Sciences"/>
    <n v="1"/>
    <n v="1340"/>
    <n v="3"/>
    <s v="Male"/>
    <n v="74"/>
    <n v="3"/>
    <n v="1"/>
    <x v="1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m/>
    <m/>
    <m/>
    <m/>
  </r>
  <r>
    <n v="34"/>
    <s v="No"/>
    <s v="Travel_Rarely"/>
    <n v="943"/>
    <s v="Research &amp; Development"/>
    <n v="9"/>
    <n v="3"/>
    <s v="Life Sciences"/>
    <n v="1"/>
    <n v="1344"/>
    <n v="4"/>
    <s v="Male"/>
    <n v="86"/>
    <n v="3"/>
    <n v="3"/>
    <x v="4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m/>
    <m/>
    <m/>
    <m/>
  </r>
  <r>
    <n v="40"/>
    <s v="No"/>
    <s v="Travel_Rarely"/>
    <n v="523"/>
    <s v="Research &amp; Development"/>
    <n v="2"/>
    <n v="3"/>
    <s v="Life Sciences"/>
    <n v="1"/>
    <n v="1346"/>
    <n v="3"/>
    <s v="Male"/>
    <n v="98"/>
    <n v="3"/>
    <n v="2"/>
    <x v="1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m/>
    <m/>
    <m/>
    <m/>
  </r>
  <r>
    <n v="41"/>
    <s v="No"/>
    <s v="Travel_Frequently"/>
    <n v="1018"/>
    <s v="Sales"/>
    <n v="1"/>
    <n v="3"/>
    <s v="Marketing"/>
    <n v="1"/>
    <n v="1349"/>
    <n v="3"/>
    <s v="Female"/>
    <n v="66"/>
    <n v="3"/>
    <n v="2"/>
    <x v="0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m/>
    <m/>
    <m/>
    <m/>
  </r>
  <r>
    <n v="35"/>
    <s v="No"/>
    <s v="Travel_Frequently"/>
    <n v="482"/>
    <s v="Research &amp; Development"/>
    <n v="4"/>
    <n v="4"/>
    <s v="Life Sciences"/>
    <n v="1"/>
    <n v="1350"/>
    <n v="3"/>
    <s v="Male"/>
    <n v="87"/>
    <n v="3"/>
    <n v="2"/>
    <x v="1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m/>
    <m/>
    <m/>
    <m/>
  </r>
  <r>
    <n v="51"/>
    <s v="No"/>
    <s v="Travel_Rarely"/>
    <n v="770"/>
    <s v="Human Resources"/>
    <n v="5"/>
    <n v="3"/>
    <s v="Life Sciences"/>
    <n v="1"/>
    <n v="1352"/>
    <n v="3"/>
    <s v="Male"/>
    <n v="84"/>
    <n v="3"/>
    <n v="4"/>
    <x v="5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m/>
    <m/>
    <m/>
    <m/>
  </r>
  <r>
    <n v="38"/>
    <s v="No"/>
    <s v="Travel_Rarely"/>
    <n v="1009"/>
    <s v="Sales"/>
    <n v="2"/>
    <n v="2"/>
    <s v="Life Sciences"/>
    <n v="1"/>
    <n v="1355"/>
    <n v="2"/>
    <s v="Female"/>
    <n v="31"/>
    <n v="3"/>
    <n v="2"/>
    <x v="0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m/>
    <m/>
    <m/>
    <m/>
  </r>
  <r>
    <n v="34"/>
    <s v="No"/>
    <s v="Travel_Rarely"/>
    <n v="507"/>
    <s v="Sales"/>
    <n v="15"/>
    <n v="2"/>
    <s v="Medical"/>
    <n v="1"/>
    <n v="1356"/>
    <n v="3"/>
    <s v="Female"/>
    <n v="66"/>
    <n v="3"/>
    <n v="2"/>
    <x v="0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m/>
    <m/>
    <m/>
    <m/>
  </r>
  <r>
    <n v="25"/>
    <s v="No"/>
    <s v="Travel_Rarely"/>
    <n v="882"/>
    <s v="Research &amp; Development"/>
    <n v="19"/>
    <n v="1"/>
    <s v="Medical"/>
    <n v="1"/>
    <n v="1358"/>
    <n v="4"/>
    <s v="Male"/>
    <n v="67"/>
    <n v="3"/>
    <n v="1"/>
    <x v="2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m/>
    <m/>
    <m/>
    <m/>
  </r>
  <r>
    <n v="58"/>
    <s v="Yes"/>
    <s v="Travel_Rarely"/>
    <n v="601"/>
    <s v="Research &amp; Development"/>
    <n v="7"/>
    <n v="4"/>
    <s v="Medical"/>
    <n v="1"/>
    <n v="1360"/>
    <n v="3"/>
    <s v="Female"/>
    <n v="53"/>
    <n v="2"/>
    <n v="3"/>
    <x v="3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m/>
    <m/>
    <m/>
    <m/>
  </r>
  <r>
    <n v="40"/>
    <s v="No"/>
    <s v="Travel_Rarely"/>
    <n v="329"/>
    <s v="Research &amp; Development"/>
    <n v="1"/>
    <n v="4"/>
    <s v="Life Sciences"/>
    <n v="1"/>
    <n v="1361"/>
    <n v="2"/>
    <s v="Male"/>
    <n v="88"/>
    <n v="3"/>
    <n v="1"/>
    <x v="2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m/>
    <m/>
    <m/>
    <m/>
  </r>
  <r>
    <n v="36"/>
    <s v="No"/>
    <s v="Travel_Frequently"/>
    <n v="607"/>
    <s v="Sales"/>
    <n v="7"/>
    <n v="3"/>
    <s v="Marketing"/>
    <n v="1"/>
    <n v="1362"/>
    <n v="1"/>
    <s v="Female"/>
    <n v="83"/>
    <n v="4"/>
    <n v="2"/>
    <x v="0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m/>
    <m/>
    <m/>
    <m/>
  </r>
  <r>
    <n v="48"/>
    <s v="No"/>
    <s v="Travel_Rarely"/>
    <n v="855"/>
    <s v="Research &amp; Development"/>
    <n v="4"/>
    <n v="3"/>
    <s v="Life Sciences"/>
    <n v="1"/>
    <n v="1363"/>
    <n v="4"/>
    <s v="Male"/>
    <n v="54"/>
    <n v="3"/>
    <n v="3"/>
    <x v="3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m/>
    <m/>
    <m/>
    <m/>
  </r>
  <r>
    <n v="27"/>
    <s v="No"/>
    <s v="Travel_Rarely"/>
    <n v="1291"/>
    <s v="Sales"/>
    <n v="11"/>
    <n v="3"/>
    <s v="Medical"/>
    <n v="1"/>
    <n v="1364"/>
    <n v="3"/>
    <s v="Female"/>
    <n v="98"/>
    <n v="4"/>
    <n v="1"/>
    <x v="6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m/>
    <m/>
    <m/>
    <m/>
  </r>
  <r>
    <n v="51"/>
    <s v="No"/>
    <s v="Travel_Rarely"/>
    <n v="1405"/>
    <s v="Research &amp; Development"/>
    <n v="11"/>
    <n v="2"/>
    <s v="Technical Degree"/>
    <n v="1"/>
    <n v="1367"/>
    <n v="4"/>
    <s v="Female"/>
    <n v="82"/>
    <n v="2"/>
    <n v="4"/>
    <x v="3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m/>
    <m/>
    <m/>
    <m/>
  </r>
  <r>
    <n v="18"/>
    <s v="No"/>
    <s v="Non-Travel"/>
    <n v="1124"/>
    <s v="Research &amp; Development"/>
    <n v="1"/>
    <n v="3"/>
    <s v="Life Sciences"/>
    <n v="1"/>
    <n v="1368"/>
    <n v="4"/>
    <s v="Female"/>
    <n v="97"/>
    <n v="3"/>
    <n v="1"/>
    <x v="2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m/>
    <m/>
    <m/>
    <m/>
  </r>
  <r>
    <n v="35"/>
    <s v="No"/>
    <s v="Travel_Rarely"/>
    <n v="817"/>
    <s v="Research &amp; Development"/>
    <n v="1"/>
    <n v="3"/>
    <s v="Medical"/>
    <n v="1"/>
    <n v="1369"/>
    <n v="4"/>
    <s v="Female"/>
    <n v="60"/>
    <n v="2"/>
    <n v="2"/>
    <x v="2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m/>
    <m/>
    <m/>
    <m/>
  </r>
  <r>
    <n v="27"/>
    <s v="No"/>
    <s v="Travel_Frequently"/>
    <n v="793"/>
    <s v="Sales"/>
    <n v="2"/>
    <n v="1"/>
    <s v="Life Sciences"/>
    <n v="1"/>
    <n v="1371"/>
    <n v="4"/>
    <s v="Male"/>
    <n v="43"/>
    <n v="1"/>
    <n v="2"/>
    <x v="0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m/>
    <m/>
    <m/>
    <m/>
  </r>
  <r>
    <n v="55"/>
    <s v="Yes"/>
    <s v="Travel_Rarely"/>
    <n v="267"/>
    <s v="Sales"/>
    <n v="13"/>
    <n v="4"/>
    <s v="Marketing"/>
    <n v="1"/>
    <n v="1372"/>
    <n v="1"/>
    <s v="Male"/>
    <n v="85"/>
    <n v="4"/>
    <n v="4"/>
    <x v="0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m/>
    <m/>
    <m/>
    <m/>
  </r>
  <r>
    <n v="56"/>
    <s v="No"/>
    <s v="Travel_Rarely"/>
    <n v="1369"/>
    <s v="Research &amp; Development"/>
    <n v="23"/>
    <n v="3"/>
    <s v="Life Sciences"/>
    <n v="1"/>
    <n v="1373"/>
    <n v="4"/>
    <s v="Male"/>
    <n v="68"/>
    <n v="3"/>
    <n v="4"/>
    <x v="3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m/>
    <m/>
    <m/>
    <m/>
  </r>
  <r>
    <n v="34"/>
    <s v="No"/>
    <s v="Non-Travel"/>
    <n v="999"/>
    <s v="Research &amp; Development"/>
    <n v="26"/>
    <n v="1"/>
    <s v="Technical Degree"/>
    <n v="1"/>
    <n v="1374"/>
    <n v="1"/>
    <s v="Female"/>
    <n v="92"/>
    <n v="2"/>
    <n v="1"/>
    <x v="1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m/>
    <m/>
    <m/>
    <m/>
  </r>
  <r>
    <n v="40"/>
    <s v="No"/>
    <s v="Travel_Rarely"/>
    <n v="1202"/>
    <s v="Research &amp; Development"/>
    <n v="2"/>
    <n v="1"/>
    <s v="Medical"/>
    <n v="1"/>
    <n v="1375"/>
    <n v="2"/>
    <s v="Female"/>
    <n v="89"/>
    <n v="4"/>
    <n v="2"/>
    <x v="4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m/>
    <m/>
    <m/>
    <m/>
  </r>
  <r>
    <n v="34"/>
    <s v="No"/>
    <s v="Travel_Rarely"/>
    <n v="285"/>
    <s v="Research &amp; Development"/>
    <n v="29"/>
    <n v="3"/>
    <s v="Medical"/>
    <n v="1"/>
    <n v="1377"/>
    <n v="2"/>
    <s v="Male"/>
    <n v="86"/>
    <n v="3"/>
    <n v="2"/>
    <x v="2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m/>
    <m/>
    <m/>
    <m/>
  </r>
  <r>
    <n v="31"/>
    <s v="Yes"/>
    <s v="Travel_Frequently"/>
    <n v="703"/>
    <s v="Sales"/>
    <n v="2"/>
    <n v="3"/>
    <s v="Life Sciences"/>
    <n v="1"/>
    <n v="1379"/>
    <n v="3"/>
    <s v="Female"/>
    <n v="90"/>
    <n v="2"/>
    <n v="1"/>
    <x v="6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m/>
    <m/>
    <m/>
    <m/>
  </r>
  <r>
    <n v="35"/>
    <s v="Yes"/>
    <s v="Travel_Frequently"/>
    <n v="662"/>
    <s v="Sales"/>
    <n v="18"/>
    <n v="4"/>
    <s v="Marketing"/>
    <n v="1"/>
    <n v="1380"/>
    <n v="4"/>
    <s v="Female"/>
    <n v="67"/>
    <n v="3"/>
    <n v="2"/>
    <x v="0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m/>
    <m/>
    <m/>
    <m/>
  </r>
  <r>
    <n v="38"/>
    <s v="No"/>
    <s v="Travel_Frequently"/>
    <n v="693"/>
    <s v="Research &amp; Development"/>
    <n v="7"/>
    <n v="3"/>
    <s v="Life Sciences"/>
    <n v="1"/>
    <n v="1382"/>
    <n v="4"/>
    <s v="Male"/>
    <n v="57"/>
    <n v="4"/>
    <n v="1"/>
    <x v="1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m/>
    <m/>
    <m/>
    <m/>
  </r>
  <r>
    <n v="34"/>
    <s v="No"/>
    <s v="Travel_Rarely"/>
    <n v="404"/>
    <s v="Research &amp; Development"/>
    <n v="2"/>
    <n v="4"/>
    <s v="Technical Degree"/>
    <n v="1"/>
    <n v="1383"/>
    <n v="3"/>
    <s v="Female"/>
    <n v="98"/>
    <n v="3"/>
    <n v="2"/>
    <x v="4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m/>
    <m/>
    <m/>
    <m/>
  </r>
  <r>
    <n v="28"/>
    <s v="No"/>
    <s v="Travel_Rarely"/>
    <n v="736"/>
    <s v="Sales"/>
    <n v="26"/>
    <n v="3"/>
    <s v="Life Sciences"/>
    <n v="1"/>
    <n v="1387"/>
    <n v="3"/>
    <s v="Male"/>
    <n v="48"/>
    <n v="2"/>
    <n v="2"/>
    <x v="0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m/>
    <m/>
    <m/>
    <m/>
  </r>
  <r>
    <n v="31"/>
    <s v="Yes"/>
    <s v="Travel_Rarely"/>
    <n v="330"/>
    <s v="Research &amp; Development"/>
    <n v="22"/>
    <n v="4"/>
    <s v="Medical"/>
    <n v="1"/>
    <n v="1389"/>
    <n v="4"/>
    <s v="Male"/>
    <n v="98"/>
    <n v="3"/>
    <n v="2"/>
    <x v="3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m/>
    <m/>
    <m/>
    <m/>
  </r>
  <r>
    <n v="39"/>
    <s v="No"/>
    <s v="Travel_Rarely"/>
    <n v="1498"/>
    <s v="Sales"/>
    <n v="21"/>
    <n v="4"/>
    <s v="Life Sciences"/>
    <n v="1"/>
    <n v="1390"/>
    <n v="1"/>
    <s v="Male"/>
    <n v="44"/>
    <n v="2"/>
    <n v="2"/>
    <x v="0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m/>
    <m/>
    <m/>
    <m/>
  </r>
  <r>
    <n v="51"/>
    <s v="No"/>
    <s v="Travel_Frequently"/>
    <n v="541"/>
    <s v="Sales"/>
    <n v="2"/>
    <n v="3"/>
    <s v="Marketing"/>
    <n v="1"/>
    <n v="1391"/>
    <n v="2"/>
    <s v="Male"/>
    <n v="52"/>
    <n v="3"/>
    <n v="3"/>
    <x v="0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m/>
    <m/>
    <m/>
    <m/>
  </r>
  <r>
    <n v="41"/>
    <s v="No"/>
    <s v="Travel_Frequently"/>
    <n v="1200"/>
    <s v="Research &amp; Development"/>
    <n v="22"/>
    <n v="3"/>
    <s v="Life Sciences"/>
    <n v="1"/>
    <n v="1392"/>
    <n v="4"/>
    <s v="Female"/>
    <n v="75"/>
    <n v="3"/>
    <n v="2"/>
    <x v="1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m/>
    <m/>
    <m/>
    <m/>
  </r>
  <r>
    <n v="37"/>
    <s v="No"/>
    <s v="Travel_Rarely"/>
    <n v="1439"/>
    <s v="Research &amp; Development"/>
    <n v="4"/>
    <n v="1"/>
    <s v="Life Sciences"/>
    <n v="1"/>
    <n v="1394"/>
    <n v="3"/>
    <s v="Male"/>
    <n v="54"/>
    <n v="3"/>
    <n v="1"/>
    <x v="1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m/>
    <m/>
    <m/>
    <m/>
  </r>
  <r>
    <n v="33"/>
    <s v="No"/>
    <s v="Travel_Frequently"/>
    <n v="1111"/>
    <s v="Sales"/>
    <n v="5"/>
    <n v="1"/>
    <s v="Life Sciences"/>
    <n v="1"/>
    <n v="1395"/>
    <n v="2"/>
    <s v="Male"/>
    <n v="61"/>
    <n v="3"/>
    <n v="2"/>
    <x v="0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m/>
    <m/>
    <m/>
    <m/>
  </r>
  <r>
    <n v="32"/>
    <s v="No"/>
    <s v="Travel_Rarely"/>
    <n v="499"/>
    <s v="Sales"/>
    <n v="2"/>
    <n v="1"/>
    <s v="Marketing"/>
    <n v="1"/>
    <n v="1396"/>
    <n v="3"/>
    <s v="Male"/>
    <n v="36"/>
    <n v="3"/>
    <n v="2"/>
    <x v="0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m/>
    <m/>
    <m/>
    <m/>
  </r>
  <r>
    <n v="39"/>
    <s v="No"/>
    <s v="Non-Travel"/>
    <n v="1485"/>
    <s v="Research &amp; Development"/>
    <n v="25"/>
    <n v="2"/>
    <s v="Life Sciences"/>
    <n v="1"/>
    <n v="1397"/>
    <n v="3"/>
    <s v="Male"/>
    <n v="71"/>
    <n v="3"/>
    <n v="3"/>
    <x v="4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m/>
    <m/>
    <m/>
    <m/>
  </r>
  <r>
    <n v="25"/>
    <s v="No"/>
    <s v="Travel_Rarely"/>
    <n v="1372"/>
    <s v="Sales"/>
    <n v="18"/>
    <n v="1"/>
    <s v="Life Sciences"/>
    <n v="1"/>
    <n v="1399"/>
    <n v="1"/>
    <s v="Male"/>
    <n v="93"/>
    <n v="4"/>
    <n v="2"/>
    <x v="0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m/>
    <m/>
    <m/>
    <m/>
  </r>
  <r>
    <n v="52"/>
    <s v="No"/>
    <s v="Travel_Frequently"/>
    <n v="322"/>
    <s v="Research &amp; Development"/>
    <n v="28"/>
    <n v="2"/>
    <s v="Medical"/>
    <n v="1"/>
    <n v="1401"/>
    <n v="4"/>
    <s v="Female"/>
    <n v="59"/>
    <n v="4"/>
    <n v="4"/>
    <x v="3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m/>
    <m/>
    <m/>
    <m/>
  </r>
  <r>
    <n v="43"/>
    <s v="No"/>
    <s v="Travel_Rarely"/>
    <n v="930"/>
    <s v="Research &amp; Development"/>
    <n v="6"/>
    <n v="3"/>
    <s v="Medical"/>
    <n v="1"/>
    <n v="1402"/>
    <n v="1"/>
    <s v="Female"/>
    <n v="73"/>
    <n v="2"/>
    <n v="2"/>
    <x v="1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m/>
    <m/>
    <m/>
    <m/>
  </r>
  <r>
    <n v="27"/>
    <s v="No"/>
    <s v="Travel_Rarely"/>
    <n v="205"/>
    <s v="Sales"/>
    <n v="10"/>
    <n v="3"/>
    <s v="Marketing"/>
    <n v="1"/>
    <n v="1403"/>
    <n v="4"/>
    <s v="Female"/>
    <n v="98"/>
    <n v="2"/>
    <n v="2"/>
    <x v="0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m/>
    <m/>
    <m/>
    <m/>
  </r>
  <r>
    <n v="27"/>
    <s v="Yes"/>
    <s v="Travel_Rarely"/>
    <n v="135"/>
    <s v="Research &amp; Development"/>
    <n v="17"/>
    <n v="4"/>
    <s v="Life Sciences"/>
    <n v="1"/>
    <n v="1405"/>
    <n v="4"/>
    <s v="Female"/>
    <n v="51"/>
    <n v="3"/>
    <n v="1"/>
    <x v="1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m/>
    <m/>
    <m/>
    <m/>
  </r>
  <r>
    <n v="26"/>
    <s v="No"/>
    <s v="Travel_Rarely"/>
    <n v="683"/>
    <s v="Research &amp; Development"/>
    <n v="2"/>
    <n v="1"/>
    <s v="Medical"/>
    <n v="1"/>
    <n v="1407"/>
    <n v="1"/>
    <s v="Male"/>
    <n v="36"/>
    <n v="2"/>
    <n v="1"/>
    <x v="1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m/>
    <m/>
    <m/>
    <m/>
  </r>
  <r>
    <n v="42"/>
    <s v="No"/>
    <s v="Travel_Rarely"/>
    <n v="1147"/>
    <s v="Human Resources"/>
    <n v="10"/>
    <n v="3"/>
    <s v="Human Resources"/>
    <n v="1"/>
    <n v="1408"/>
    <n v="3"/>
    <s v="Female"/>
    <n v="31"/>
    <n v="3"/>
    <n v="4"/>
    <x v="5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m/>
    <m/>
    <m/>
    <m/>
  </r>
  <r>
    <n v="52"/>
    <s v="No"/>
    <s v="Travel_Rarely"/>
    <n v="258"/>
    <s v="Research &amp; Development"/>
    <n v="8"/>
    <n v="4"/>
    <s v="Other"/>
    <n v="1"/>
    <n v="1409"/>
    <n v="3"/>
    <s v="Female"/>
    <n v="54"/>
    <n v="3"/>
    <n v="1"/>
    <x v="2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m/>
    <m/>
    <m/>
    <m/>
  </r>
  <r>
    <n v="37"/>
    <s v="No"/>
    <s v="Travel_Rarely"/>
    <n v="1462"/>
    <s v="Research &amp; Development"/>
    <n v="11"/>
    <n v="3"/>
    <s v="Medical"/>
    <n v="1"/>
    <n v="1411"/>
    <n v="1"/>
    <s v="Female"/>
    <n v="94"/>
    <n v="3"/>
    <n v="1"/>
    <x v="2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m/>
    <m/>
    <m/>
    <m/>
  </r>
  <r>
    <n v="35"/>
    <s v="No"/>
    <s v="Travel_Frequently"/>
    <n v="200"/>
    <s v="Research &amp; Development"/>
    <n v="18"/>
    <n v="2"/>
    <s v="Life Sciences"/>
    <n v="1"/>
    <n v="1412"/>
    <n v="3"/>
    <s v="Male"/>
    <n v="60"/>
    <n v="3"/>
    <n v="3"/>
    <x v="3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m/>
    <m/>
    <m/>
    <m/>
  </r>
  <r>
    <n v="25"/>
    <s v="No"/>
    <s v="Travel_Rarely"/>
    <n v="949"/>
    <s v="Research &amp; Development"/>
    <n v="1"/>
    <n v="3"/>
    <s v="Technical Degree"/>
    <n v="1"/>
    <n v="1415"/>
    <n v="1"/>
    <s v="Male"/>
    <n v="81"/>
    <n v="3"/>
    <n v="1"/>
    <x v="2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m/>
    <m/>
    <m/>
    <m/>
  </r>
  <r>
    <n v="26"/>
    <s v="No"/>
    <s v="Travel_Rarely"/>
    <n v="652"/>
    <s v="Research &amp; Development"/>
    <n v="7"/>
    <n v="3"/>
    <s v="Other"/>
    <n v="1"/>
    <n v="1417"/>
    <n v="3"/>
    <s v="Male"/>
    <n v="100"/>
    <n v="4"/>
    <n v="1"/>
    <x v="2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m/>
    <m/>
    <m/>
    <m/>
  </r>
  <r>
    <n v="29"/>
    <s v="No"/>
    <s v="Travel_Rarely"/>
    <n v="332"/>
    <s v="Human Resources"/>
    <n v="17"/>
    <n v="3"/>
    <s v="Other"/>
    <n v="1"/>
    <n v="1419"/>
    <n v="2"/>
    <s v="Male"/>
    <n v="51"/>
    <n v="2"/>
    <n v="3"/>
    <x v="8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m/>
    <m/>
    <m/>
    <m/>
  </r>
  <r>
    <n v="49"/>
    <s v="Yes"/>
    <s v="Travel_Frequently"/>
    <n v="1475"/>
    <s v="Research &amp; Development"/>
    <n v="28"/>
    <n v="2"/>
    <s v="Life Sciences"/>
    <n v="1"/>
    <n v="1420"/>
    <n v="1"/>
    <s v="Male"/>
    <n v="97"/>
    <n v="2"/>
    <n v="2"/>
    <x v="2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m/>
    <m/>
    <m/>
    <m/>
  </r>
  <r>
    <n v="29"/>
    <s v="Yes"/>
    <s v="Travel_Frequently"/>
    <n v="337"/>
    <s v="Research &amp; Development"/>
    <n v="14"/>
    <n v="1"/>
    <s v="Other"/>
    <n v="1"/>
    <n v="1421"/>
    <n v="3"/>
    <s v="Female"/>
    <n v="84"/>
    <n v="3"/>
    <n v="3"/>
    <x v="4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m/>
    <m/>
    <m/>
    <m/>
  </r>
  <r>
    <n v="54"/>
    <s v="No"/>
    <s v="Travel_Rarely"/>
    <n v="971"/>
    <s v="Research &amp; Development"/>
    <n v="1"/>
    <n v="3"/>
    <s v="Medical"/>
    <n v="1"/>
    <n v="1422"/>
    <n v="4"/>
    <s v="Female"/>
    <n v="54"/>
    <n v="3"/>
    <n v="4"/>
    <x v="7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m/>
    <m/>
    <m/>
    <m/>
  </r>
  <r>
    <n v="58"/>
    <s v="No"/>
    <s v="Travel_Rarely"/>
    <n v="1055"/>
    <s v="Research &amp; Development"/>
    <n v="1"/>
    <n v="3"/>
    <s v="Medical"/>
    <n v="1"/>
    <n v="1423"/>
    <n v="4"/>
    <s v="Female"/>
    <n v="76"/>
    <n v="3"/>
    <n v="5"/>
    <x v="7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m/>
    <m/>
    <m/>
    <m/>
  </r>
  <r>
    <n v="55"/>
    <s v="No"/>
    <s v="Travel_Rarely"/>
    <n v="1136"/>
    <s v="Research &amp; Development"/>
    <n v="1"/>
    <n v="4"/>
    <s v="Medical"/>
    <n v="1"/>
    <n v="1424"/>
    <n v="2"/>
    <s v="Male"/>
    <n v="81"/>
    <n v="4"/>
    <n v="4"/>
    <x v="7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m/>
    <m/>
    <m/>
    <m/>
  </r>
  <r>
    <n v="36"/>
    <s v="No"/>
    <s v="Travel_Rarely"/>
    <n v="1174"/>
    <s v="Sales"/>
    <n v="3"/>
    <n v="4"/>
    <s v="Marketing"/>
    <n v="1"/>
    <n v="1425"/>
    <n v="1"/>
    <s v="Female"/>
    <n v="99"/>
    <n v="3"/>
    <n v="2"/>
    <x v="0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m/>
    <m/>
    <m/>
    <m/>
  </r>
  <r>
    <n v="31"/>
    <s v="Yes"/>
    <s v="Travel_Frequently"/>
    <n v="667"/>
    <s v="Sales"/>
    <n v="1"/>
    <n v="4"/>
    <s v="Life Sciences"/>
    <n v="1"/>
    <n v="1427"/>
    <n v="2"/>
    <s v="Female"/>
    <n v="50"/>
    <n v="1"/>
    <n v="1"/>
    <x v="6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m/>
    <m/>
    <m/>
    <m/>
  </r>
  <r>
    <n v="30"/>
    <s v="No"/>
    <s v="Travel_Rarely"/>
    <n v="855"/>
    <s v="Sales"/>
    <n v="7"/>
    <n v="4"/>
    <s v="Marketing"/>
    <n v="1"/>
    <n v="1428"/>
    <n v="4"/>
    <s v="Female"/>
    <n v="73"/>
    <n v="3"/>
    <n v="2"/>
    <x v="0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m/>
    <m/>
    <m/>
    <m/>
  </r>
  <r>
    <n v="31"/>
    <s v="No"/>
    <s v="Travel_Rarely"/>
    <n v="182"/>
    <s v="Research &amp; Development"/>
    <n v="8"/>
    <n v="5"/>
    <s v="Life Sciences"/>
    <n v="1"/>
    <n v="1430"/>
    <n v="1"/>
    <s v="Female"/>
    <n v="93"/>
    <n v="3"/>
    <n v="4"/>
    <x v="7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m/>
    <m/>
    <m/>
    <m/>
  </r>
  <r>
    <n v="34"/>
    <s v="No"/>
    <s v="Travel_Frequently"/>
    <n v="560"/>
    <s v="Research &amp; Development"/>
    <n v="1"/>
    <n v="4"/>
    <s v="Other"/>
    <n v="1"/>
    <n v="1431"/>
    <n v="4"/>
    <s v="Male"/>
    <n v="91"/>
    <n v="3"/>
    <n v="1"/>
    <x v="1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m/>
    <m/>
    <m/>
    <m/>
  </r>
  <r>
    <n v="31"/>
    <s v="Yes"/>
    <s v="Travel_Rarely"/>
    <n v="202"/>
    <s v="Research &amp; Development"/>
    <n v="8"/>
    <n v="3"/>
    <s v="Life Sciences"/>
    <n v="1"/>
    <n v="1433"/>
    <n v="1"/>
    <s v="Female"/>
    <n v="34"/>
    <n v="2"/>
    <n v="1"/>
    <x v="1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m/>
    <m/>
    <m/>
    <m/>
  </r>
  <r>
    <n v="27"/>
    <s v="No"/>
    <s v="Travel_Rarely"/>
    <n v="1377"/>
    <s v="Research &amp; Development"/>
    <n v="11"/>
    <n v="1"/>
    <s v="Life Sciences"/>
    <n v="1"/>
    <n v="1434"/>
    <n v="2"/>
    <s v="Male"/>
    <n v="91"/>
    <n v="3"/>
    <n v="1"/>
    <x v="2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m/>
    <m/>
    <m/>
    <m/>
  </r>
  <r>
    <n v="36"/>
    <s v="No"/>
    <s v="Travel_Rarely"/>
    <n v="172"/>
    <s v="Research &amp; Development"/>
    <n v="4"/>
    <n v="4"/>
    <s v="Life Sciences"/>
    <n v="1"/>
    <n v="1435"/>
    <n v="1"/>
    <s v="Male"/>
    <n v="37"/>
    <n v="2"/>
    <n v="2"/>
    <x v="2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m/>
    <m/>
    <m/>
    <m/>
  </r>
  <r>
    <n v="36"/>
    <s v="No"/>
    <s v="Travel_Rarely"/>
    <n v="329"/>
    <s v="Sales"/>
    <n v="16"/>
    <n v="4"/>
    <s v="Marketing"/>
    <n v="1"/>
    <n v="1436"/>
    <n v="3"/>
    <s v="Female"/>
    <n v="98"/>
    <n v="2"/>
    <n v="2"/>
    <x v="0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m/>
    <m/>
    <m/>
    <m/>
  </r>
  <r>
    <n v="47"/>
    <s v="No"/>
    <s v="Travel_Rarely"/>
    <n v="465"/>
    <s v="Research &amp; Development"/>
    <n v="1"/>
    <n v="3"/>
    <s v="Technical Degree"/>
    <n v="1"/>
    <n v="1438"/>
    <n v="1"/>
    <s v="Male"/>
    <n v="74"/>
    <n v="3"/>
    <n v="1"/>
    <x v="1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m/>
    <m/>
    <m/>
    <m/>
  </r>
  <r>
    <n v="25"/>
    <s v="Yes"/>
    <s v="Travel_Rarely"/>
    <n v="383"/>
    <s v="Sales"/>
    <n v="9"/>
    <n v="2"/>
    <s v="Life Sciences"/>
    <n v="1"/>
    <n v="1439"/>
    <n v="1"/>
    <s v="Male"/>
    <n v="68"/>
    <n v="2"/>
    <n v="1"/>
    <x v="6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m/>
    <m/>
    <m/>
    <m/>
  </r>
  <r>
    <n v="37"/>
    <s v="No"/>
    <s v="Non-Travel"/>
    <n v="1413"/>
    <s v="Research &amp; Development"/>
    <n v="5"/>
    <n v="2"/>
    <s v="Technical Degree"/>
    <n v="1"/>
    <n v="1440"/>
    <n v="3"/>
    <s v="Male"/>
    <n v="84"/>
    <n v="4"/>
    <n v="1"/>
    <x v="2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m/>
    <m/>
    <m/>
    <m/>
  </r>
  <r>
    <n v="56"/>
    <s v="No"/>
    <s v="Travel_Rarely"/>
    <n v="1255"/>
    <s v="Research &amp; Development"/>
    <n v="1"/>
    <n v="2"/>
    <s v="Life Sciences"/>
    <n v="1"/>
    <n v="1441"/>
    <n v="1"/>
    <s v="Female"/>
    <n v="90"/>
    <n v="3"/>
    <n v="1"/>
    <x v="1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m/>
    <m/>
    <m/>
    <m/>
  </r>
  <r>
    <n v="47"/>
    <s v="No"/>
    <s v="Travel_Rarely"/>
    <n v="359"/>
    <s v="Research &amp; Development"/>
    <n v="2"/>
    <n v="4"/>
    <s v="Medical"/>
    <n v="1"/>
    <n v="1443"/>
    <n v="1"/>
    <s v="Female"/>
    <n v="82"/>
    <n v="3"/>
    <n v="4"/>
    <x v="7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m/>
    <m/>
    <m/>
    <m/>
  </r>
  <r>
    <n v="24"/>
    <s v="No"/>
    <s v="Travel_Rarely"/>
    <n v="1476"/>
    <s v="Sales"/>
    <n v="4"/>
    <n v="1"/>
    <s v="Medical"/>
    <n v="1"/>
    <n v="1445"/>
    <n v="4"/>
    <s v="Female"/>
    <n v="42"/>
    <n v="3"/>
    <n v="2"/>
    <x v="0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m/>
    <m/>
    <m/>
    <m/>
  </r>
  <r>
    <n v="32"/>
    <s v="No"/>
    <s v="Travel_Rarely"/>
    <n v="601"/>
    <s v="Sales"/>
    <n v="7"/>
    <n v="5"/>
    <s v="Marketing"/>
    <n v="1"/>
    <n v="1446"/>
    <n v="4"/>
    <s v="Male"/>
    <n v="97"/>
    <n v="3"/>
    <n v="2"/>
    <x v="0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m/>
    <m/>
    <m/>
    <m/>
  </r>
  <r>
    <n v="34"/>
    <s v="No"/>
    <s v="Travel_Rarely"/>
    <n v="401"/>
    <s v="Research &amp; Development"/>
    <n v="1"/>
    <n v="3"/>
    <s v="Life Sciences"/>
    <n v="1"/>
    <n v="1447"/>
    <n v="4"/>
    <s v="Female"/>
    <n v="86"/>
    <n v="2"/>
    <n v="1"/>
    <x v="2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m/>
    <m/>
    <m/>
    <m/>
  </r>
  <r>
    <n v="41"/>
    <s v="No"/>
    <s v="Travel_Rarely"/>
    <n v="1283"/>
    <s v="Research &amp; Development"/>
    <n v="5"/>
    <n v="5"/>
    <s v="Medical"/>
    <n v="1"/>
    <n v="1448"/>
    <n v="2"/>
    <s v="Male"/>
    <n v="90"/>
    <n v="4"/>
    <n v="1"/>
    <x v="1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m/>
    <m/>
    <m/>
    <m/>
  </r>
  <r>
    <n v="40"/>
    <s v="No"/>
    <s v="Non-Travel"/>
    <n v="663"/>
    <s v="Research &amp; Development"/>
    <n v="9"/>
    <n v="4"/>
    <s v="Other"/>
    <n v="1"/>
    <n v="1449"/>
    <n v="3"/>
    <s v="Male"/>
    <n v="81"/>
    <n v="3"/>
    <n v="2"/>
    <x v="2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m/>
    <m/>
    <m/>
    <m/>
  </r>
  <r>
    <n v="31"/>
    <s v="No"/>
    <s v="Travel_Rarely"/>
    <n v="326"/>
    <s v="Sales"/>
    <n v="8"/>
    <n v="2"/>
    <s v="Life Sciences"/>
    <n v="1"/>
    <n v="1453"/>
    <n v="1"/>
    <s v="Male"/>
    <n v="31"/>
    <n v="3"/>
    <n v="3"/>
    <x v="0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m/>
    <m/>
    <m/>
    <m/>
  </r>
  <r>
    <n v="46"/>
    <s v="Yes"/>
    <s v="Travel_Rarely"/>
    <n v="377"/>
    <s v="Sales"/>
    <n v="9"/>
    <n v="3"/>
    <s v="Marketing"/>
    <n v="1"/>
    <n v="1457"/>
    <n v="1"/>
    <s v="Male"/>
    <n v="52"/>
    <n v="3"/>
    <n v="3"/>
    <x v="0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m/>
    <m/>
    <m/>
    <m/>
  </r>
  <r>
    <n v="39"/>
    <s v="Yes"/>
    <s v="Non-Travel"/>
    <n v="592"/>
    <s v="Research &amp; Development"/>
    <n v="2"/>
    <n v="3"/>
    <s v="Life Sciences"/>
    <n v="1"/>
    <n v="1458"/>
    <n v="1"/>
    <s v="Female"/>
    <n v="54"/>
    <n v="2"/>
    <n v="1"/>
    <x v="2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m/>
    <m/>
    <m/>
    <m/>
  </r>
  <r>
    <n v="31"/>
    <s v="Yes"/>
    <s v="Travel_Frequently"/>
    <n v="1445"/>
    <s v="Research &amp; Development"/>
    <n v="1"/>
    <n v="5"/>
    <s v="Life Sciences"/>
    <n v="1"/>
    <n v="1459"/>
    <n v="3"/>
    <s v="Female"/>
    <n v="100"/>
    <n v="4"/>
    <n v="3"/>
    <x v="3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m/>
    <m/>
    <m/>
    <m/>
  </r>
  <r>
    <n v="45"/>
    <s v="No"/>
    <s v="Travel_Rarely"/>
    <n v="1038"/>
    <s v="Research &amp; Development"/>
    <n v="20"/>
    <n v="3"/>
    <s v="Medical"/>
    <n v="1"/>
    <n v="1460"/>
    <n v="2"/>
    <s v="Male"/>
    <n v="95"/>
    <n v="1"/>
    <n v="3"/>
    <x v="4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m/>
    <m/>
    <m/>
    <m/>
  </r>
  <r>
    <n v="31"/>
    <s v="No"/>
    <s v="Travel_Rarely"/>
    <n v="1398"/>
    <s v="Human Resources"/>
    <n v="8"/>
    <n v="2"/>
    <s v="Medical"/>
    <n v="1"/>
    <n v="1461"/>
    <n v="4"/>
    <s v="Female"/>
    <n v="96"/>
    <n v="4"/>
    <n v="1"/>
    <x v="8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m/>
    <m/>
    <m/>
    <m/>
  </r>
  <r>
    <n v="31"/>
    <s v="Yes"/>
    <s v="Travel_Frequently"/>
    <n v="523"/>
    <s v="Research &amp; Development"/>
    <n v="2"/>
    <n v="3"/>
    <s v="Life Sciences"/>
    <n v="1"/>
    <n v="1464"/>
    <n v="2"/>
    <s v="Male"/>
    <n v="94"/>
    <n v="3"/>
    <n v="1"/>
    <x v="2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m/>
    <m/>
    <m/>
    <m/>
  </r>
  <r>
    <n v="45"/>
    <s v="No"/>
    <s v="Travel_Rarely"/>
    <n v="1448"/>
    <s v="Research &amp; Development"/>
    <n v="29"/>
    <n v="3"/>
    <s v="Technical Degree"/>
    <n v="1"/>
    <n v="1465"/>
    <n v="2"/>
    <s v="Male"/>
    <n v="55"/>
    <n v="3"/>
    <n v="3"/>
    <x v="3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m/>
    <m/>
    <m/>
    <m/>
  </r>
  <r>
    <n v="48"/>
    <s v="No"/>
    <s v="Travel_Rarely"/>
    <n v="1221"/>
    <s v="Sales"/>
    <n v="7"/>
    <n v="3"/>
    <s v="Marketing"/>
    <n v="1"/>
    <n v="1466"/>
    <n v="3"/>
    <s v="Male"/>
    <n v="96"/>
    <n v="3"/>
    <n v="2"/>
    <x v="0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m/>
    <m/>
    <m/>
    <m/>
  </r>
  <r>
    <n v="34"/>
    <s v="Yes"/>
    <s v="Travel_Rarely"/>
    <n v="1107"/>
    <s v="Human Resources"/>
    <n v="9"/>
    <n v="4"/>
    <s v="Technical Degree"/>
    <n v="1"/>
    <n v="1467"/>
    <n v="1"/>
    <s v="Female"/>
    <n v="52"/>
    <n v="3"/>
    <n v="1"/>
    <x v="8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m/>
    <m/>
    <m/>
    <m/>
  </r>
  <r>
    <n v="40"/>
    <s v="No"/>
    <s v="Non-Travel"/>
    <n v="218"/>
    <s v="Research &amp; Development"/>
    <n v="8"/>
    <n v="1"/>
    <s v="Medical"/>
    <n v="1"/>
    <n v="1468"/>
    <n v="4"/>
    <s v="Male"/>
    <n v="55"/>
    <n v="2"/>
    <n v="3"/>
    <x v="7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m/>
    <m/>
    <m/>
    <m/>
  </r>
  <r>
    <n v="28"/>
    <s v="No"/>
    <s v="Travel_Rarely"/>
    <n v="866"/>
    <s v="Sales"/>
    <n v="5"/>
    <n v="3"/>
    <s v="Medical"/>
    <n v="1"/>
    <n v="1469"/>
    <n v="4"/>
    <s v="Male"/>
    <n v="84"/>
    <n v="3"/>
    <n v="2"/>
    <x v="0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m/>
    <m/>
    <m/>
    <m/>
  </r>
  <r>
    <n v="44"/>
    <s v="No"/>
    <s v="Non-Travel"/>
    <n v="981"/>
    <s v="Research &amp; Development"/>
    <n v="5"/>
    <n v="3"/>
    <s v="Life Sciences"/>
    <n v="1"/>
    <n v="1471"/>
    <n v="3"/>
    <s v="Male"/>
    <n v="90"/>
    <n v="2"/>
    <n v="1"/>
    <x v="2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m/>
    <m/>
    <m/>
    <m/>
  </r>
  <r>
    <n v="53"/>
    <s v="No"/>
    <s v="Travel_Rarely"/>
    <n v="447"/>
    <s v="Research &amp; Development"/>
    <n v="2"/>
    <n v="3"/>
    <s v="Medical"/>
    <n v="1"/>
    <n v="1472"/>
    <n v="4"/>
    <s v="Male"/>
    <n v="39"/>
    <n v="4"/>
    <n v="4"/>
    <x v="7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m/>
    <m/>
    <m/>
    <m/>
  </r>
  <r>
    <n v="49"/>
    <s v="No"/>
    <s v="Travel_Rarely"/>
    <n v="1495"/>
    <s v="Research &amp; Development"/>
    <n v="5"/>
    <n v="4"/>
    <s v="Technical Degree"/>
    <n v="1"/>
    <n v="1473"/>
    <n v="1"/>
    <s v="Male"/>
    <n v="96"/>
    <n v="3"/>
    <n v="2"/>
    <x v="4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m/>
    <m/>
    <m/>
    <m/>
  </r>
  <r>
    <n v="40"/>
    <s v="No"/>
    <s v="Travel_Rarely"/>
    <n v="896"/>
    <s v="Research &amp; Development"/>
    <n v="2"/>
    <n v="3"/>
    <s v="Medical"/>
    <n v="1"/>
    <n v="1474"/>
    <n v="3"/>
    <s v="Male"/>
    <n v="68"/>
    <n v="3"/>
    <n v="1"/>
    <x v="1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m/>
    <m/>
    <m/>
    <m/>
  </r>
  <r>
    <n v="44"/>
    <s v="No"/>
    <s v="Travel_Rarely"/>
    <n v="1467"/>
    <s v="Research &amp; Development"/>
    <n v="20"/>
    <n v="3"/>
    <s v="Life Sciences"/>
    <n v="1"/>
    <n v="1475"/>
    <n v="4"/>
    <s v="Male"/>
    <n v="49"/>
    <n v="3"/>
    <n v="1"/>
    <x v="1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m/>
    <m/>
    <m/>
    <m/>
  </r>
  <r>
    <n v="33"/>
    <s v="No"/>
    <s v="Travel_Frequently"/>
    <n v="430"/>
    <s v="Sales"/>
    <n v="7"/>
    <n v="3"/>
    <s v="Medical"/>
    <n v="1"/>
    <n v="1477"/>
    <n v="4"/>
    <s v="Male"/>
    <n v="54"/>
    <n v="3"/>
    <n v="2"/>
    <x v="0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m/>
    <m/>
    <m/>
    <m/>
  </r>
  <r>
    <n v="34"/>
    <s v="No"/>
    <s v="Travel_Rarely"/>
    <n v="1326"/>
    <s v="Sales"/>
    <n v="3"/>
    <n v="3"/>
    <s v="Other"/>
    <n v="1"/>
    <n v="1478"/>
    <n v="4"/>
    <s v="Male"/>
    <n v="81"/>
    <n v="1"/>
    <n v="2"/>
    <x v="0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m/>
    <m/>
    <m/>
    <m/>
  </r>
  <r>
    <n v="30"/>
    <s v="No"/>
    <s v="Travel_Rarely"/>
    <n v="1358"/>
    <s v="Sales"/>
    <n v="16"/>
    <n v="1"/>
    <s v="Life Sciences"/>
    <n v="1"/>
    <n v="1479"/>
    <n v="4"/>
    <s v="Male"/>
    <n v="96"/>
    <n v="3"/>
    <n v="2"/>
    <x v="0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m/>
    <m/>
    <m/>
    <m/>
  </r>
  <r>
    <n v="42"/>
    <s v="No"/>
    <s v="Travel_Frequently"/>
    <n v="748"/>
    <s v="Research &amp; Development"/>
    <n v="9"/>
    <n v="2"/>
    <s v="Medical"/>
    <n v="1"/>
    <n v="1480"/>
    <n v="1"/>
    <s v="Female"/>
    <n v="74"/>
    <n v="3"/>
    <n v="1"/>
    <x v="2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m/>
    <m/>
    <m/>
    <m/>
  </r>
  <r>
    <n v="44"/>
    <s v="No"/>
    <s v="Travel_Frequently"/>
    <n v="383"/>
    <s v="Sales"/>
    <n v="1"/>
    <n v="5"/>
    <s v="Marketing"/>
    <n v="1"/>
    <n v="1481"/>
    <n v="1"/>
    <s v="Female"/>
    <n v="79"/>
    <n v="3"/>
    <n v="2"/>
    <x v="0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m/>
    <m/>
    <m/>
    <m/>
  </r>
  <r>
    <n v="30"/>
    <s v="No"/>
    <s v="Non-Travel"/>
    <n v="990"/>
    <s v="Research &amp; Development"/>
    <n v="7"/>
    <n v="3"/>
    <s v="Technical Degree"/>
    <n v="1"/>
    <n v="1482"/>
    <n v="3"/>
    <s v="Male"/>
    <n v="64"/>
    <n v="3"/>
    <n v="1"/>
    <x v="1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m/>
    <m/>
    <m/>
    <m/>
  </r>
  <r>
    <n v="57"/>
    <s v="No"/>
    <s v="Travel_Rarely"/>
    <n v="405"/>
    <s v="Research &amp; Development"/>
    <n v="1"/>
    <n v="2"/>
    <s v="Life Sciences"/>
    <n v="1"/>
    <n v="1483"/>
    <n v="2"/>
    <s v="Male"/>
    <n v="93"/>
    <n v="4"/>
    <n v="2"/>
    <x v="1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m/>
    <m/>
    <m/>
    <m/>
  </r>
  <r>
    <n v="49"/>
    <s v="No"/>
    <s v="Travel_Rarely"/>
    <n v="1490"/>
    <s v="Research &amp; Development"/>
    <n v="7"/>
    <n v="4"/>
    <s v="Life Sciences"/>
    <n v="1"/>
    <n v="1484"/>
    <n v="3"/>
    <s v="Male"/>
    <n v="35"/>
    <n v="3"/>
    <n v="3"/>
    <x v="4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m/>
    <m/>
    <m/>
    <m/>
  </r>
  <r>
    <n v="34"/>
    <s v="No"/>
    <s v="Travel_Frequently"/>
    <n v="829"/>
    <s v="Research &amp; Development"/>
    <n v="15"/>
    <n v="3"/>
    <s v="Medical"/>
    <n v="1"/>
    <n v="1485"/>
    <n v="2"/>
    <s v="Male"/>
    <n v="71"/>
    <n v="3"/>
    <n v="4"/>
    <x v="7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m/>
    <m/>
    <m/>
    <m/>
  </r>
  <r>
    <n v="28"/>
    <s v="Yes"/>
    <s v="Travel_Frequently"/>
    <n v="1496"/>
    <s v="Sales"/>
    <n v="1"/>
    <n v="3"/>
    <s v="Technical Degree"/>
    <n v="1"/>
    <n v="1486"/>
    <n v="1"/>
    <s v="Male"/>
    <n v="92"/>
    <n v="3"/>
    <n v="1"/>
    <x v="6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m/>
    <m/>
    <m/>
    <m/>
  </r>
  <r>
    <n v="29"/>
    <s v="Yes"/>
    <s v="Travel_Frequently"/>
    <n v="115"/>
    <s v="Sales"/>
    <n v="13"/>
    <n v="3"/>
    <s v="Technical Degree"/>
    <n v="1"/>
    <n v="1487"/>
    <n v="1"/>
    <s v="Female"/>
    <n v="51"/>
    <n v="3"/>
    <n v="2"/>
    <x v="0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m/>
    <m/>
    <m/>
    <m/>
  </r>
  <r>
    <n v="34"/>
    <s v="Yes"/>
    <s v="Travel_Rarely"/>
    <n v="790"/>
    <s v="Sales"/>
    <n v="24"/>
    <n v="4"/>
    <s v="Medical"/>
    <n v="1"/>
    <n v="1489"/>
    <n v="1"/>
    <s v="Female"/>
    <n v="40"/>
    <n v="2"/>
    <n v="2"/>
    <x v="0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m/>
    <m/>
    <m/>
    <m/>
  </r>
  <r>
    <n v="35"/>
    <s v="No"/>
    <s v="Travel_Rarely"/>
    <n v="660"/>
    <s v="Sales"/>
    <n v="7"/>
    <n v="1"/>
    <s v="Life Sciences"/>
    <n v="1"/>
    <n v="1492"/>
    <n v="4"/>
    <s v="Male"/>
    <n v="76"/>
    <n v="3"/>
    <n v="1"/>
    <x v="6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m/>
    <m/>
    <m/>
    <m/>
  </r>
  <r>
    <n v="24"/>
    <s v="Yes"/>
    <s v="Travel_Frequently"/>
    <n v="381"/>
    <s v="Research &amp; Development"/>
    <n v="9"/>
    <n v="3"/>
    <s v="Medical"/>
    <n v="1"/>
    <n v="1494"/>
    <n v="2"/>
    <s v="Male"/>
    <n v="89"/>
    <n v="3"/>
    <n v="1"/>
    <x v="2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m/>
    <m/>
    <m/>
    <m/>
  </r>
  <r>
    <n v="24"/>
    <s v="No"/>
    <s v="Non-Travel"/>
    <n v="830"/>
    <s v="Sales"/>
    <n v="13"/>
    <n v="2"/>
    <s v="Life Sciences"/>
    <n v="1"/>
    <n v="1495"/>
    <n v="4"/>
    <s v="Female"/>
    <n v="78"/>
    <n v="3"/>
    <n v="1"/>
    <x v="6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m/>
    <m/>
    <m/>
    <m/>
  </r>
  <r>
    <n v="44"/>
    <s v="No"/>
    <s v="Travel_Frequently"/>
    <n v="1193"/>
    <s v="Research &amp; Development"/>
    <n v="2"/>
    <n v="1"/>
    <s v="Medical"/>
    <n v="1"/>
    <n v="1496"/>
    <n v="2"/>
    <s v="Male"/>
    <n v="86"/>
    <n v="3"/>
    <n v="3"/>
    <x v="3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m/>
    <m/>
    <m/>
    <m/>
  </r>
  <r>
    <n v="29"/>
    <s v="No"/>
    <s v="Travel_Rarely"/>
    <n v="1246"/>
    <s v="Sales"/>
    <n v="19"/>
    <n v="3"/>
    <s v="Life Sciences"/>
    <n v="1"/>
    <n v="1497"/>
    <n v="3"/>
    <s v="Male"/>
    <n v="77"/>
    <n v="2"/>
    <n v="2"/>
    <x v="0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m/>
    <m/>
    <m/>
    <m/>
  </r>
  <r>
    <n v="30"/>
    <s v="No"/>
    <s v="Travel_Rarely"/>
    <n v="330"/>
    <s v="Human Resources"/>
    <n v="1"/>
    <n v="3"/>
    <s v="Life Sciences"/>
    <n v="1"/>
    <n v="1499"/>
    <n v="3"/>
    <s v="Male"/>
    <n v="46"/>
    <n v="3"/>
    <n v="1"/>
    <x v="8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m/>
    <m/>
    <m/>
    <m/>
  </r>
  <r>
    <n v="55"/>
    <s v="No"/>
    <s v="Travel_Rarely"/>
    <n v="1229"/>
    <s v="Research &amp; Development"/>
    <n v="4"/>
    <n v="4"/>
    <s v="Life Sciences"/>
    <n v="1"/>
    <n v="1501"/>
    <n v="4"/>
    <s v="Male"/>
    <n v="30"/>
    <n v="3"/>
    <n v="2"/>
    <x v="4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m/>
    <m/>
    <m/>
    <m/>
  </r>
  <r>
    <n v="33"/>
    <s v="No"/>
    <s v="Travel_Rarely"/>
    <n v="1099"/>
    <s v="Research &amp; Development"/>
    <n v="4"/>
    <n v="4"/>
    <s v="Medical"/>
    <n v="1"/>
    <n v="1502"/>
    <n v="1"/>
    <s v="Female"/>
    <n v="82"/>
    <n v="2"/>
    <n v="1"/>
    <x v="2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m/>
    <m/>
    <m/>
    <m/>
  </r>
  <r>
    <n v="47"/>
    <s v="No"/>
    <s v="Travel_Rarely"/>
    <n v="571"/>
    <s v="Sales"/>
    <n v="14"/>
    <n v="3"/>
    <s v="Medical"/>
    <n v="1"/>
    <n v="1503"/>
    <n v="3"/>
    <s v="Female"/>
    <n v="78"/>
    <n v="3"/>
    <n v="2"/>
    <x v="0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m/>
    <m/>
    <m/>
    <m/>
  </r>
  <r>
    <n v="28"/>
    <s v="Yes"/>
    <s v="Travel_Frequently"/>
    <n v="289"/>
    <s v="Research &amp; Development"/>
    <n v="2"/>
    <n v="2"/>
    <s v="Medical"/>
    <n v="1"/>
    <n v="1504"/>
    <n v="3"/>
    <s v="Male"/>
    <n v="38"/>
    <n v="2"/>
    <n v="1"/>
    <x v="2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m/>
    <m/>
    <m/>
    <m/>
  </r>
  <r>
    <n v="28"/>
    <s v="No"/>
    <s v="Travel_Rarely"/>
    <n v="1423"/>
    <s v="Research &amp; Development"/>
    <n v="1"/>
    <n v="3"/>
    <s v="Life Sciences"/>
    <n v="1"/>
    <n v="1506"/>
    <n v="1"/>
    <s v="Male"/>
    <n v="72"/>
    <n v="2"/>
    <n v="1"/>
    <x v="1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m/>
    <m/>
    <m/>
    <m/>
  </r>
  <r>
    <n v="28"/>
    <s v="No"/>
    <s v="Travel_Frequently"/>
    <n v="467"/>
    <s v="Sales"/>
    <n v="7"/>
    <n v="3"/>
    <s v="Life Sciences"/>
    <n v="1"/>
    <n v="1507"/>
    <n v="3"/>
    <s v="Male"/>
    <n v="55"/>
    <n v="3"/>
    <n v="2"/>
    <x v="0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m/>
    <m/>
    <m/>
    <m/>
  </r>
  <r>
    <n v="49"/>
    <s v="No"/>
    <s v="Travel_Rarely"/>
    <n v="271"/>
    <s v="Research &amp; Development"/>
    <n v="3"/>
    <n v="2"/>
    <s v="Medical"/>
    <n v="1"/>
    <n v="1509"/>
    <n v="3"/>
    <s v="Female"/>
    <n v="43"/>
    <n v="2"/>
    <n v="2"/>
    <x v="2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m/>
    <m/>
    <m/>
    <m/>
  </r>
  <r>
    <n v="29"/>
    <s v="No"/>
    <s v="Travel_Frequently"/>
    <n v="410"/>
    <s v="Research &amp; Development"/>
    <n v="2"/>
    <n v="1"/>
    <s v="Life Sciences"/>
    <n v="1"/>
    <n v="1513"/>
    <n v="4"/>
    <s v="Female"/>
    <n v="97"/>
    <n v="3"/>
    <n v="1"/>
    <x v="2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m/>
    <m/>
    <m/>
    <m/>
  </r>
  <r>
    <n v="28"/>
    <s v="No"/>
    <s v="Travel_Rarely"/>
    <n v="1083"/>
    <s v="Research &amp; Development"/>
    <n v="29"/>
    <n v="1"/>
    <s v="Life Sciences"/>
    <n v="1"/>
    <n v="1514"/>
    <n v="3"/>
    <s v="Male"/>
    <n v="96"/>
    <n v="1"/>
    <n v="2"/>
    <x v="3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m/>
    <m/>
    <m/>
    <m/>
  </r>
  <r>
    <n v="33"/>
    <s v="No"/>
    <s v="Travel_Rarely"/>
    <n v="516"/>
    <s v="Research &amp; Development"/>
    <n v="8"/>
    <n v="5"/>
    <s v="Life Sciences"/>
    <n v="1"/>
    <n v="1515"/>
    <n v="4"/>
    <s v="Male"/>
    <n v="69"/>
    <n v="3"/>
    <n v="2"/>
    <x v="4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m/>
    <m/>
    <m/>
    <m/>
  </r>
  <r>
    <n v="32"/>
    <s v="No"/>
    <s v="Travel_Rarely"/>
    <n v="495"/>
    <s v="Research &amp; Development"/>
    <n v="10"/>
    <n v="3"/>
    <s v="Medical"/>
    <n v="1"/>
    <n v="1516"/>
    <n v="3"/>
    <s v="Male"/>
    <n v="64"/>
    <n v="3"/>
    <n v="3"/>
    <x v="5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m/>
    <m/>
    <m/>
    <m/>
  </r>
  <r>
    <n v="54"/>
    <s v="No"/>
    <s v="Travel_Frequently"/>
    <n v="1050"/>
    <s v="Research &amp; Development"/>
    <n v="11"/>
    <n v="4"/>
    <s v="Medical"/>
    <n v="1"/>
    <n v="1520"/>
    <n v="2"/>
    <s v="Female"/>
    <n v="87"/>
    <n v="3"/>
    <n v="4"/>
    <x v="5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m/>
    <m/>
    <m/>
    <m/>
  </r>
  <r>
    <n v="29"/>
    <s v="Yes"/>
    <s v="Travel_Rarely"/>
    <n v="224"/>
    <s v="Research &amp; Development"/>
    <n v="1"/>
    <n v="4"/>
    <s v="Technical Degree"/>
    <n v="1"/>
    <n v="1522"/>
    <n v="1"/>
    <s v="Male"/>
    <n v="100"/>
    <n v="2"/>
    <n v="1"/>
    <x v="1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m/>
    <m/>
    <m/>
    <m/>
  </r>
  <r>
    <n v="44"/>
    <s v="No"/>
    <s v="Travel_Rarely"/>
    <n v="136"/>
    <s v="Research &amp; Development"/>
    <n v="28"/>
    <n v="3"/>
    <s v="Life Sciences"/>
    <n v="1"/>
    <n v="1523"/>
    <n v="4"/>
    <s v="Male"/>
    <n v="32"/>
    <n v="3"/>
    <n v="4"/>
    <x v="7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m/>
    <m/>
    <m/>
    <m/>
  </r>
  <r>
    <n v="39"/>
    <s v="No"/>
    <s v="Travel_Rarely"/>
    <n v="1089"/>
    <s v="Research &amp; Development"/>
    <n v="6"/>
    <n v="3"/>
    <s v="Life Sciences"/>
    <n v="1"/>
    <n v="1525"/>
    <n v="2"/>
    <s v="Female"/>
    <n v="32"/>
    <n v="3"/>
    <n v="3"/>
    <x v="3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m/>
    <m/>
    <m/>
    <m/>
  </r>
  <r>
    <n v="46"/>
    <s v="No"/>
    <s v="Travel_Rarely"/>
    <n v="228"/>
    <s v="Sales"/>
    <n v="3"/>
    <n v="3"/>
    <s v="Life Sciences"/>
    <n v="1"/>
    <n v="1527"/>
    <n v="3"/>
    <s v="Female"/>
    <n v="51"/>
    <n v="3"/>
    <n v="4"/>
    <x v="5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m/>
    <m/>
    <m/>
    <m/>
  </r>
  <r>
    <n v="35"/>
    <s v="No"/>
    <s v="Travel_Rarely"/>
    <n v="1029"/>
    <s v="Research &amp; Development"/>
    <n v="16"/>
    <n v="3"/>
    <s v="Life Sciences"/>
    <n v="1"/>
    <n v="1529"/>
    <n v="4"/>
    <s v="Female"/>
    <n v="91"/>
    <n v="2"/>
    <n v="3"/>
    <x v="4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m/>
    <m/>
    <m/>
    <m/>
  </r>
  <r>
    <n v="23"/>
    <s v="No"/>
    <s v="Travel_Rarely"/>
    <n v="507"/>
    <s v="Research &amp; Development"/>
    <n v="20"/>
    <n v="1"/>
    <s v="Life Sciences"/>
    <n v="1"/>
    <n v="1533"/>
    <n v="1"/>
    <s v="Male"/>
    <n v="97"/>
    <n v="3"/>
    <n v="2"/>
    <x v="2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m/>
    <m/>
    <m/>
    <m/>
  </r>
  <r>
    <n v="40"/>
    <s v="Yes"/>
    <s v="Travel_Rarely"/>
    <n v="676"/>
    <s v="Research &amp; Development"/>
    <n v="9"/>
    <n v="4"/>
    <s v="Life Sciences"/>
    <n v="1"/>
    <n v="1534"/>
    <n v="4"/>
    <s v="Male"/>
    <n v="86"/>
    <n v="3"/>
    <n v="1"/>
    <x v="2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m/>
    <m/>
    <m/>
    <m/>
  </r>
  <r>
    <n v="34"/>
    <s v="No"/>
    <s v="Travel_Rarely"/>
    <n v="971"/>
    <s v="Sales"/>
    <n v="1"/>
    <n v="3"/>
    <s v="Technical Degree"/>
    <n v="1"/>
    <n v="1535"/>
    <n v="4"/>
    <s v="Male"/>
    <n v="64"/>
    <n v="2"/>
    <n v="3"/>
    <x v="0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m/>
    <m/>
    <m/>
    <m/>
  </r>
  <r>
    <n v="31"/>
    <s v="Yes"/>
    <s v="Travel_Frequently"/>
    <n v="561"/>
    <s v="Research &amp; Development"/>
    <n v="3"/>
    <n v="3"/>
    <s v="Life Sciences"/>
    <n v="1"/>
    <n v="1537"/>
    <n v="4"/>
    <s v="Female"/>
    <n v="33"/>
    <n v="3"/>
    <n v="1"/>
    <x v="1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m/>
    <m/>
    <m/>
    <m/>
  </r>
  <r>
    <n v="50"/>
    <s v="No"/>
    <s v="Travel_Frequently"/>
    <n v="333"/>
    <s v="Research &amp; Development"/>
    <n v="22"/>
    <n v="5"/>
    <s v="Medical"/>
    <n v="1"/>
    <n v="1539"/>
    <n v="3"/>
    <s v="Male"/>
    <n v="88"/>
    <n v="1"/>
    <n v="4"/>
    <x v="7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m/>
    <m/>
    <m/>
    <m/>
  </r>
  <r>
    <n v="34"/>
    <s v="No"/>
    <s v="Travel_Rarely"/>
    <n v="1440"/>
    <s v="Sales"/>
    <n v="7"/>
    <n v="2"/>
    <s v="Technical Degree"/>
    <n v="1"/>
    <n v="1541"/>
    <n v="2"/>
    <s v="Male"/>
    <n v="55"/>
    <n v="3"/>
    <n v="1"/>
    <x v="6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m/>
    <m/>
    <m/>
    <m/>
  </r>
  <r>
    <n v="42"/>
    <s v="No"/>
    <s v="Travel_Rarely"/>
    <n v="1210"/>
    <s v="Research &amp; Development"/>
    <n v="2"/>
    <n v="3"/>
    <s v="Medical"/>
    <n v="1"/>
    <n v="1542"/>
    <n v="3"/>
    <s v="Male"/>
    <n v="68"/>
    <n v="2"/>
    <n v="1"/>
    <x v="2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m/>
    <m/>
    <m/>
    <m/>
  </r>
  <r>
    <n v="37"/>
    <s v="No"/>
    <s v="Travel_Rarely"/>
    <n v="674"/>
    <s v="Research &amp; Development"/>
    <n v="13"/>
    <n v="3"/>
    <s v="Medical"/>
    <n v="1"/>
    <n v="1543"/>
    <n v="1"/>
    <s v="Male"/>
    <n v="47"/>
    <n v="3"/>
    <n v="2"/>
    <x v="1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m/>
    <m/>
    <m/>
    <m/>
  </r>
  <r>
    <n v="29"/>
    <s v="No"/>
    <s v="Travel_Rarely"/>
    <n v="441"/>
    <s v="Research &amp; Development"/>
    <n v="8"/>
    <n v="1"/>
    <s v="Other"/>
    <n v="1"/>
    <n v="1544"/>
    <n v="3"/>
    <s v="Female"/>
    <n v="39"/>
    <n v="1"/>
    <n v="2"/>
    <x v="4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m/>
    <m/>
    <m/>
    <m/>
  </r>
  <r>
    <n v="33"/>
    <s v="No"/>
    <s v="Travel_Rarely"/>
    <n v="575"/>
    <s v="Research &amp; Development"/>
    <n v="25"/>
    <n v="3"/>
    <s v="Life Sciences"/>
    <n v="1"/>
    <n v="1545"/>
    <n v="4"/>
    <s v="Male"/>
    <n v="44"/>
    <n v="2"/>
    <n v="2"/>
    <x v="3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m/>
    <m/>
    <m/>
    <m/>
  </r>
  <r>
    <n v="45"/>
    <s v="No"/>
    <s v="Travel_Rarely"/>
    <n v="950"/>
    <s v="Research &amp; Development"/>
    <n v="28"/>
    <n v="3"/>
    <s v="Technical Degree"/>
    <n v="1"/>
    <n v="1546"/>
    <n v="4"/>
    <s v="Male"/>
    <n v="97"/>
    <n v="3"/>
    <n v="1"/>
    <x v="1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m/>
    <m/>
    <m/>
    <m/>
  </r>
  <r>
    <n v="42"/>
    <s v="No"/>
    <s v="Travel_Frequently"/>
    <n v="288"/>
    <s v="Research &amp; Development"/>
    <n v="2"/>
    <n v="3"/>
    <s v="Life Sciences"/>
    <n v="1"/>
    <n v="1547"/>
    <n v="4"/>
    <s v="Male"/>
    <n v="40"/>
    <n v="3"/>
    <n v="3"/>
    <x v="4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m/>
    <m/>
    <m/>
    <m/>
  </r>
  <r>
    <n v="40"/>
    <s v="No"/>
    <s v="Travel_Rarely"/>
    <n v="1342"/>
    <s v="Sales"/>
    <n v="9"/>
    <n v="2"/>
    <s v="Medical"/>
    <n v="1"/>
    <n v="1548"/>
    <n v="1"/>
    <s v="Male"/>
    <n v="47"/>
    <n v="3"/>
    <n v="2"/>
    <x v="0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m/>
    <m/>
    <m/>
    <m/>
  </r>
  <r>
    <n v="33"/>
    <s v="No"/>
    <s v="Travel_Rarely"/>
    <n v="589"/>
    <s v="Research &amp; Development"/>
    <n v="28"/>
    <n v="4"/>
    <s v="Life Sciences"/>
    <n v="1"/>
    <n v="1549"/>
    <n v="2"/>
    <s v="Male"/>
    <n v="79"/>
    <n v="3"/>
    <n v="2"/>
    <x v="2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m/>
    <m/>
    <m/>
    <m/>
  </r>
  <r>
    <n v="40"/>
    <s v="No"/>
    <s v="Travel_Rarely"/>
    <n v="898"/>
    <s v="Human Resources"/>
    <n v="6"/>
    <n v="2"/>
    <s v="Medical"/>
    <n v="1"/>
    <n v="1550"/>
    <n v="3"/>
    <s v="Male"/>
    <n v="38"/>
    <n v="3"/>
    <n v="4"/>
    <x v="5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m/>
    <m/>
    <m/>
    <m/>
  </r>
  <r>
    <n v="24"/>
    <s v="No"/>
    <s v="Travel_Rarely"/>
    <n v="350"/>
    <s v="Research &amp; Development"/>
    <n v="21"/>
    <n v="2"/>
    <s v="Technical Degree"/>
    <n v="1"/>
    <n v="1551"/>
    <n v="3"/>
    <s v="Male"/>
    <n v="57"/>
    <n v="2"/>
    <n v="1"/>
    <x v="2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m/>
    <m/>
    <m/>
    <m/>
  </r>
  <r>
    <n v="40"/>
    <s v="No"/>
    <s v="Non-Travel"/>
    <n v="1142"/>
    <s v="Research &amp; Development"/>
    <n v="8"/>
    <n v="2"/>
    <s v="Life Sciences"/>
    <n v="1"/>
    <n v="1552"/>
    <n v="4"/>
    <s v="Male"/>
    <n v="72"/>
    <n v="3"/>
    <n v="2"/>
    <x v="4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m/>
    <m/>
    <m/>
    <m/>
  </r>
  <r>
    <n v="45"/>
    <s v="No"/>
    <s v="Travel_Rarely"/>
    <n v="538"/>
    <s v="Research &amp; Development"/>
    <n v="1"/>
    <n v="4"/>
    <s v="Technical Degree"/>
    <n v="1"/>
    <n v="1553"/>
    <n v="1"/>
    <s v="Male"/>
    <n v="66"/>
    <n v="3"/>
    <n v="3"/>
    <x v="4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m/>
    <m/>
    <m/>
    <m/>
  </r>
  <r>
    <n v="35"/>
    <s v="No"/>
    <s v="Travel_Rarely"/>
    <n v="1402"/>
    <s v="Sales"/>
    <n v="28"/>
    <n v="4"/>
    <s v="Life Sciences"/>
    <n v="1"/>
    <n v="1554"/>
    <n v="2"/>
    <s v="Female"/>
    <n v="98"/>
    <n v="2"/>
    <n v="1"/>
    <x v="6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m/>
    <m/>
    <m/>
    <m/>
  </r>
  <r>
    <n v="32"/>
    <s v="No"/>
    <s v="Travel_Rarely"/>
    <n v="824"/>
    <s v="Research &amp; Development"/>
    <n v="5"/>
    <n v="2"/>
    <s v="Life Sciences"/>
    <n v="1"/>
    <n v="1555"/>
    <n v="4"/>
    <s v="Female"/>
    <n v="67"/>
    <n v="2"/>
    <n v="2"/>
    <x v="1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m/>
    <m/>
    <m/>
    <m/>
  </r>
  <r>
    <n v="36"/>
    <s v="No"/>
    <s v="Travel_Rarely"/>
    <n v="1157"/>
    <s v="Sales"/>
    <n v="2"/>
    <n v="4"/>
    <s v="Life Sciences"/>
    <n v="1"/>
    <n v="1556"/>
    <n v="3"/>
    <s v="Male"/>
    <n v="70"/>
    <n v="3"/>
    <n v="1"/>
    <x v="6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m/>
    <m/>
    <m/>
    <m/>
  </r>
  <r>
    <n v="48"/>
    <s v="No"/>
    <s v="Travel_Rarely"/>
    <n v="492"/>
    <s v="Sales"/>
    <n v="16"/>
    <n v="4"/>
    <s v="Life Sciences"/>
    <n v="1"/>
    <n v="1557"/>
    <n v="3"/>
    <s v="Female"/>
    <n v="96"/>
    <n v="3"/>
    <n v="2"/>
    <x v="0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m/>
    <m/>
    <m/>
    <m/>
  </r>
  <r>
    <n v="29"/>
    <s v="No"/>
    <s v="Travel_Rarely"/>
    <n v="598"/>
    <s v="Research &amp; Development"/>
    <n v="9"/>
    <n v="3"/>
    <s v="Life Sciences"/>
    <n v="1"/>
    <n v="1558"/>
    <n v="3"/>
    <s v="Male"/>
    <n v="91"/>
    <n v="4"/>
    <n v="1"/>
    <x v="1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m/>
    <m/>
    <m/>
    <m/>
  </r>
  <r>
    <n v="33"/>
    <s v="No"/>
    <s v="Travel_Rarely"/>
    <n v="1242"/>
    <s v="Sales"/>
    <n v="8"/>
    <n v="4"/>
    <s v="Life Sciences"/>
    <n v="1"/>
    <n v="1560"/>
    <n v="1"/>
    <s v="Male"/>
    <n v="46"/>
    <n v="3"/>
    <n v="2"/>
    <x v="0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m/>
    <m/>
    <m/>
    <m/>
  </r>
  <r>
    <n v="30"/>
    <s v="Yes"/>
    <s v="Travel_Rarely"/>
    <n v="740"/>
    <s v="Sales"/>
    <n v="1"/>
    <n v="3"/>
    <s v="Life Sciences"/>
    <n v="1"/>
    <n v="1562"/>
    <n v="2"/>
    <s v="Male"/>
    <n v="64"/>
    <n v="2"/>
    <n v="2"/>
    <x v="0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m/>
    <m/>
    <m/>
    <m/>
  </r>
  <r>
    <n v="38"/>
    <s v="No"/>
    <s v="Travel_Frequently"/>
    <n v="888"/>
    <s v="Human Resources"/>
    <n v="10"/>
    <n v="4"/>
    <s v="Human Resources"/>
    <n v="1"/>
    <n v="1563"/>
    <n v="3"/>
    <s v="Male"/>
    <n v="71"/>
    <n v="3"/>
    <n v="2"/>
    <x v="8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m/>
    <m/>
    <m/>
    <m/>
  </r>
  <r>
    <n v="35"/>
    <s v="No"/>
    <s v="Travel_Rarely"/>
    <n v="992"/>
    <s v="Research &amp; Development"/>
    <n v="1"/>
    <n v="3"/>
    <s v="Medical"/>
    <n v="1"/>
    <n v="1564"/>
    <n v="4"/>
    <s v="Male"/>
    <n v="68"/>
    <n v="2"/>
    <n v="1"/>
    <x v="2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m/>
    <m/>
    <m/>
    <m/>
  </r>
  <r>
    <n v="30"/>
    <s v="No"/>
    <s v="Travel_Rarely"/>
    <n v="1288"/>
    <s v="Sales"/>
    <n v="29"/>
    <n v="4"/>
    <s v="Technical Degree"/>
    <n v="1"/>
    <n v="1568"/>
    <n v="3"/>
    <s v="Male"/>
    <n v="33"/>
    <n v="3"/>
    <n v="3"/>
    <x v="0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m/>
    <m/>
    <m/>
    <m/>
  </r>
  <r>
    <n v="35"/>
    <s v="Yes"/>
    <s v="Travel_Rarely"/>
    <n v="104"/>
    <s v="Research &amp; Development"/>
    <n v="2"/>
    <n v="3"/>
    <s v="Life Sciences"/>
    <n v="1"/>
    <n v="1569"/>
    <n v="1"/>
    <s v="Female"/>
    <n v="69"/>
    <n v="3"/>
    <n v="1"/>
    <x v="2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m/>
    <m/>
    <m/>
    <m/>
  </r>
  <r>
    <n v="53"/>
    <s v="Yes"/>
    <s v="Travel_Rarely"/>
    <n v="607"/>
    <s v="Research &amp; Development"/>
    <n v="2"/>
    <n v="5"/>
    <s v="Technical Degree"/>
    <n v="1"/>
    <n v="1572"/>
    <n v="3"/>
    <s v="Female"/>
    <n v="78"/>
    <n v="2"/>
    <n v="3"/>
    <x v="3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m/>
    <m/>
    <m/>
    <m/>
  </r>
  <r>
    <n v="38"/>
    <s v="Yes"/>
    <s v="Travel_Rarely"/>
    <n v="903"/>
    <s v="Research &amp; Development"/>
    <n v="2"/>
    <n v="3"/>
    <s v="Medical"/>
    <n v="1"/>
    <n v="1573"/>
    <n v="3"/>
    <s v="Male"/>
    <n v="81"/>
    <n v="3"/>
    <n v="2"/>
    <x v="3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m/>
    <m/>
    <m/>
    <m/>
  </r>
  <r>
    <n v="32"/>
    <s v="No"/>
    <s v="Non-Travel"/>
    <n v="1200"/>
    <s v="Research &amp; Development"/>
    <n v="1"/>
    <n v="4"/>
    <s v="Technical Degree"/>
    <n v="1"/>
    <n v="1574"/>
    <n v="4"/>
    <s v="Male"/>
    <n v="62"/>
    <n v="3"/>
    <n v="2"/>
    <x v="1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m/>
    <m/>
    <m/>
    <m/>
  </r>
  <r>
    <n v="48"/>
    <s v="No"/>
    <s v="Travel_Rarely"/>
    <n v="1108"/>
    <s v="Research &amp; Development"/>
    <n v="15"/>
    <n v="4"/>
    <s v="Other"/>
    <n v="1"/>
    <n v="1576"/>
    <n v="3"/>
    <s v="Female"/>
    <n v="65"/>
    <n v="3"/>
    <n v="1"/>
    <x v="1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m/>
    <m/>
    <m/>
    <m/>
  </r>
  <r>
    <n v="34"/>
    <s v="No"/>
    <s v="Travel_Rarely"/>
    <n v="479"/>
    <s v="Research &amp; Development"/>
    <n v="7"/>
    <n v="4"/>
    <s v="Medical"/>
    <n v="1"/>
    <n v="1577"/>
    <n v="1"/>
    <s v="Male"/>
    <n v="35"/>
    <n v="3"/>
    <n v="1"/>
    <x v="1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m/>
    <m/>
    <m/>
    <m/>
  </r>
  <r>
    <n v="55"/>
    <s v="No"/>
    <s v="Travel_Rarely"/>
    <n v="685"/>
    <s v="Sales"/>
    <n v="26"/>
    <n v="5"/>
    <s v="Marketing"/>
    <n v="1"/>
    <n v="1578"/>
    <n v="3"/>
    <s v="Male"/>
    <n v="60"/>
    <n v="2"/>
    <n v="5"/>
    <x v="5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m/>
    <m/>
    <m/>
    <m/>
  </r>
  <r>
    <n v="34"/>
    <s v="No"/>
    <s v="Travel_Rarely"/>
    <n v="1351"/>
    <s v="Research &amp; Development"/>
    <n v="1"/>
    <n v="4"/>
    <s v="Life Sciences"/>
    <n v="1"/>
    <n v="1580"/>
    <n v="2"/>
    <s v="Male"/>
    <n v="45"/>
    <n v="3"/>
    <n v="2"/>
    <x v="1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m/>
    <m/>
    <m/>
    <m/>
  </r>
  <r>
    <n v="26"/>
    <s v="No"/>
    <s v="Travel_Rarely"/>
    <n v="474"/>
    <s v="Research &amp; Development"/>
    <n v="3"/>
    <n v="3"/>
    <s v="Life Sciences"/>
    <n v="1"/>
    <n v="1581"/>
    <n v="1"/>
    <s v="Female"/>
    <n v="89"/>
    <n v="3"/>
    <n v="1"/>
    <x v="1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m/>
    <m/>
    <m/>
    <m/>
  </r>
  <r>
    <n v="38"/>
    <s v="No"/>
    <s v="Travel_Rarely"/>
    <n v="1245"/>
    <s v="Sales"/>
    <n v="14"/>
    <n v="3"/>
    <s v="Life Sciences"/>
    <n v="1"/>
    <n v="1582"/>
    <n v="3"/>
    <s v="Male"/>
    <n v="80"/>
    <n v="3"/>
    <n v="2"/>
    <x v="0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m/>
    <m/>
    <m/>
    <m/>
  </r>
  <r>
    <n v="38"/>
    <s v="No"/>
    <s v="Travel_Rarely"/>
    <n v="437"/>
    <s v="Sales"/>
    <n v="16"/>
    <n v="3"/>
    <s v="Life Sciences"/>
    <n v="1"/>
    <n v="1583"/>
    <n v="2"/>
    <s v="Female"/>
    <n v="90"/>
    <n v="3"/>
    <n v="2"/>
    <x v="0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m/>
    <m/>
    <m/>
    <m/>
  </r>
  <r>
    <n v="36"/>
    <s v="No"/>
    <s v="Travel_Rarely"/>
    <n v="884"/>
    <s v="Sales"/>
    <n v="1"/>
    <n v="4"/>
    <s v="Life Sciences"/>
    <n v="1"/>
    <n v="1585"/>
    <n v="2"/>
    <s v="Female"/>
    <n v="73"/>
    <n v="3"/>
    <n v="2"/>
    <x v="0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m/>
    <m/>
    <m/>
    <m/>
  </r>
  <r>
    <n v="29"/>
    <s v="No"/>
    <s v="Travel_Rarely"/>
    <n v="1370"/>
    <s v="Research &amp; Development"/>
    <n v="3"/>
    <n v="1"/>
    <s v="Medical"/>
    <n v="1"/>
    <n v="1586"/>
    <n v="2"/>
    <s v="Male"/>
    <n v="87"/>
    <n v="3"/>
    <n v="1"/>
    <x v="2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m/>
    <m/>
    <m/>
    <m/>
  </r>
  <r>
    <n v="35"/>
    <s v="No"/>
    <s v="Travel_Rarely"/>
    <n v="670"/>
    <s v="Research &amp; Development"/>
    <n v="10"/>
    <n v="4"/>
    <s v="Medical"/>
    <n v="1"/>
    <n v="1587"/>
    <n v="1"/>
    <s v="Female"/>
    <n v="51"/>
    <n v="3"/>
    <n v="2"/>
    <x v="4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m/>
    <m/>
    <m/>
    <m/>
  </r>
  <r>
    <n v="39"/>
    <s v="No"/>
    <s v="Travel_Rarely"/>
    <n v="1462"/>
    <s v="Sales"/>
    <n v="6"/>
    <n v="3"/>
    <s v="Medical"/>
    <n v="1"/>
    <n v="1588"/>
    <n v="4"/>
    <s v="Male"/>
    <n v="38"/>
    <n v="4"/>
    <n v="3"/>
    <x v="0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m/>
    <m/>
    <m/>
    <m/>
  </r>
  <r>
    <n v="29"/>
    <s v="No"/>
    <s v="Travel_Frequently"/>
    <n v="995"/>
    <s v="Research &amp; Development"/>
    <n v="2"/>
    <n v="1"/>
    <s v="Life Sciences"/>
    <n v="1"/>
    <n v="1590"/>
    <n v="1"/>
    <s v="Male"/>
    <n v="87"/>
    <n v="3"/>
    <n v="2"/>
    <x v="4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m/>
    <m/>
    <m/>
    <m/>
  </r>
  <r>
    <n v="50"/>
    <s v="No"/>
    <s v="Travel_Rarely"/>
    <n v="264"/>
    <s v="Sales"/>
    <n v="9"/>
    <n v="3"/>
    <s v="Marketing"/>
    <n v="1"/>
    <n v="1591"/>
    <n v="3"/>
    <s v="Male"/>
    <n v="59"/>
    <n v="3"/>
    <n v="5"/>
    <x v="5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m/>
    <m/>
    <m/>
    <m/>
  </r>
  <r>
    <n v="23"/>
    <s v="No"/>
    <s v="Travel_Rarely"/>
    <n v="977"/>
    <s v="Research &amp; Development"/>
    <n v="10"/>
    <n v="3"/>
    <s v="Technical Degree"/>
    <n v="1"/>
    <n v="1592"/>
    <n v="4"/>
    <s v="Male"/>
    <n v="45"/>
    <n v="4"/>
    <n v="1"/>
    <x v="1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m/>
    <m/>
    <m/>
    <m/>
  </r>
  <r>
    <n v="36"/>
    <s v="No"/>
    <s v="Travel_Frequently"/>
    <n v="1302"/>
    <s v="Research &amp; Development"/>
    <n v="6"/>
    <n v="4"/>
    <s v="Life Sciences"/>
    <n v="1"/>
    <n v="1594"/>
    <n v="1"/>
    <s v="Male"/>
    <n v="80"/>
    <n v="4"/>
    <n v="2"/>
    <x v="2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m/>
    <m/>
    <m/>
    <m/>
  </r>
  <r>
    <n v="42"/>
    <s v="No"/>
    <s v="Travel_Rarely"/>
    <n v="1059"/>
    <s v="Research &amp; Development"/>
    <n v="9"/>
    <n v="2"/>
    <s v="Other"/>
    <n v="1"/>
    <n v="1595"/>
    <n v="4"/>
    <s v="Male"/>
    <n v="93"/>
    <n v="2"/>
    <n v="5"/>
    <x v="5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m/>
    <m/>
    <m/>
    <m/>
  </r>
  <r>
    <n v="35"/>
    <s v="No"/>
    <s v="Travel_Rarely"/>
    <n v="750"/>
    <s v="Research &amp; Development"/>
    <n v="28"/>
    <n v="3"/>
    <s v="Life Sciences"/>
    <n v="1"/>
    <n v="1596"/>
    <n v="2"/>
    <s v="Male"/>
    <n v="46"/>
    <n v="4"/>
    <n v="2"/>
    <x v="2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m/>
    <m/>
    <m/>
    <m/>
  </r>
  <r>
    <n v="34"/>
    <s v="No"/>
    <s v="Travel_Frequently"/>
    <n v="653"/>
    <s v="Research &amp; Development"/>
    <n v="10"/>
    <n v="4"/>
    <s v="Technical Degree"/>
    <n v="1"/>
    <n v="1597"/>
    <n v="4"/>
    <s v="Male"/>
    <n v="92"/>
    <n v="2"/>
    <n v="2"/>
    <x v="4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m/>
    <m/>
    <m/>
    <m/>
  </r>
  <r>
    <n v="40"/>
    <s v="No"/>
    <s v="Travel_Rarely"/>
    <n v="118"/>
    <s v="Sales"/>
    <n v="14"/>
    <n v="2"/>
    <s v="Life Sciences"/>
    <n v="1"/>
    <n v="1598"/>
    <n v="4"/>
    <s v="Female"/>
    <n v="84"/>
    <n v="3"/>
    <n v="2"/>
    <x v="0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m/>
    <m/>
    <m/>
    <m/>
  </r>
  <r>
    <n v="43"/>
    <s v="No"/>
    <s v="Travel_Rarely"/>
    <n v="990"/>
    <s v="Research &amp; Development"/>
    <n v="27"/>
    <n v="3"/>
    <s v="Technical Degree"/>
    <n v="1"/>
    <n v="1599"/>
    <n v="4"/>
    <s v="Male"/>
    <n v="87"/>
    <n v="4"/>
    <n v="1"/>
    <x v="2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m/>
    <m/>
    <m/>
    <m/>
  </r>
  <r>
    <n v="35"/>
    <s v="No"/>
    <s v="Travel_Rarely"/>
    <n v="1349"/>
    <s v="Research &amp; Development"/>
    <n v="7"/>
    <n v="2"/>
    <s v="Life Sciences"/>
    <n v="1"/>
    <n v="1601"/>
    <n v="3"/>
    <s v="Male"/>
    <n v="63"/>
    <n v="2"/>
    <n v="1"/>
    <x v="2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m/>
    <m/>
    <m/>
    <m/>
  </r>
  <r>
    <n v="46"/>
    <s v="No"/>
    <s v="Travel_Rarely"/>
    <n v="563"/>
    <s v="Sales"/>
    <n v="1"/>
    <n v="4"/>
    <s v="Life Sciences"/>
    <n v="1"/>
    <n v="1602"/>
    <n v="4"/>
    <s v="Male"/>
    <n v="56"/>
    <n v="4"/>
    <n v="4"/>
    <x v="5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m/>
    <m/>
    <m/>
    <m/>
  </r>
  <r>
    <n v="28"/>
    <s v="Yes"/>
    <s v="Travel_Rarely"/>
    <n v="329"/>
    <s v="Research &amp; Development"/>
    <n v="24"/>
    <n v="3"/>
    <s v="Medical"/>
    <n v="1"/>
    <n v="1604"/>
    <n v="3"/>
    <s v="Male"/>
    <n v="51"/>
    <n v="3"/>
    <n v="1"/>
    <x v="2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m/>
    <m/>
    <m/>
    <m/>
  </r>
  <r>
    <n v="22"/>
    <s v="No"/>
    <s v="Non-Travel"/>
    <n v="457"/>
    <s v="Research &amp; Development"/>
    <n v="26"/>
    <n v="2"/>
    <s v="Other"/>
    <n v="1"/>
    <n v="1605"/>
    <n v="2"/>
    <s v="Female"/>
    <n v="85"/>
    <n v="2"/>
    <n v="1"/>
    <x v="1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m/>
    <m/>
    <m/>
    <m/>
  </r>
  <r>
    <n v="50"/>
    <s v="No"/>
    <s v="Travel_Frequently"/>
    <n v="1234"/>
    <s v="Research &amp; Development"/>
    <n v="20"/>
    <n v="5"/>
    <s v="Medical"/>
    <n v="1"/>
    <n v="1606"/>
    <n v="2"/>
    <s v="Male"/>
    <n v="41"/>
    <n v="3"/>
    <n v="4"/>
    <x v="4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m/>
    <m/>
    <m/>
    <m/>
  </r>
  <r>
    <n v="32"/>
    <s v="No"/>
    <s v="Travel_Rarely"/>
    <n v="634"/>
    <s v="Research &amp; Development"/>
    <n v="5"/>
    <n v="4"/>
    <s v="Other"/>
    <n v="1"/>
    <n v="1607"/>
    <n v="2"/>
    <s v="Female"/>
    <n v="35"/>
    <n v="4"/>
    <n v="1"/>
    <x v="1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m/>
    <m/>
    <m/>
    <m/>
  </r>
  <r>
    <n v="44"/>
    <s v="No"/>
    <s v="Travel_Rarely"/>
    <n v="1313"/>
    <s v="Research &amp; Development"/>
    <n v="7"/>
    <n v="3"/>
    <s v="Medical"/>
    <n v="1"/>
    <n v="1608"/>
    <n v="2"/>
    <s v="Female"/>
    <n v="31"/>
    <n v="3"/>
    <n v="5"/>
    <x v="7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m/>
    <m/>
    <m/>
    <m/>
  </r>
  <r>
    <n v="30"/>
    <s v="No"/>
    <s v="Travel_Rarely"/>
    <n v="241"/>
    <s v="Research &amp; Development"/>
    <n v="7"/>
    <n v="3"/>
    <s v="Medical"/>
    <n v="1"/>
    <n v="1609"/>
    <n v="2"/>
    <s v="Male"/>
    <n v="48"/>
    <n v="2"/>
    <n v="1"/>
    <x v="1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m/>
    <m/>
    <m/>
    <m/>
  </r>
  <r>
    <n v="45"/>
    <s v="No"/>
    <s v="Travel_Rarely"/>
    <n v="1015"/>
    <s v="Research &amp; Development"/>
    <n v="5"/>
    <n v="5"/>
    <s v="Medical"/>
    <n v="1"/>
    <n v="1611"/>
    <n v="3"/>
    <s v="Female"/>
    <n v="50"/>
    <n v="1"/>
    <n v="2"/>
    <x v="2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m/>
    <m/>
    <m/>
    <m/>
  </r>
  <r>
    <n v="45"/>
    <s v="No"/>
    <s v="Non-Travel"/>
    <n v="336"/>
    <s v="Sales"/>
    <n v="26"/>
    <n v="3"/>
    <s v="Marketing"/>
    <n v="1"/>
    <n v="1612"/>
    <n v="1"/>
    <s v="Male"/>
    <n v="52"/>
    <n v="2"/>
    <n v="2"/>
    <x v="0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m/>
    <m/>
    <m/>
    <m/>
  </r>
  <r>
    <n v="31"/>
    <s v="No"/>
    <s v="Travel_Frequently"/>
    <n v="715"/>
    <s v="Sales"/>
    <n v="2"/>
    <n v="4"/>
    <s v="Other"/>
    <n v="1"/>
    <n v="1613"/>
    <n v="4"/>
    <s v="Male"/>
    <n v="54"/>
    <n v="3"/>
    <n v="2"/>
    <x v="0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m/>
    <m/>
    <m/>
    <m/>
  </r>
  <r>
    <n v="36"/>
    <s v="No"/>
    <s v="Travel_Rarely"/>
    <n v="559"/>
    <s v="Research &amp; Development"/>
    <n v="12"/>
    <n v="4"/>
    <s v="Life Sciences"/>
    <n v="1"/>
    <n v="1614"/>
    <n v="3"/>
    <s v="Female"/>
    <n v="76"/>
    <n v="3"/>
    <n v="2"/>
    <x v="3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m/>
    <m/>
    <m/>
    <m/>
  </r>
  <r>
    <n v="34"/>
    <s v="No"/>
    <s v="Travel_Frequently"/>
    <n v="426"/>
    <s v="Research &amp; Development"/>
    <n v="10"/>
    <n v="4"/>
    <s v="Life Sciences"/>
    <n v="1"/>
    <n v="1615"/>
    <n v="3"/>
    <s v="Male"/>
    <n v="42"/>
    <n v="4"/>
    <n v="2"/>
    <x v="3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m/>
    <m/>
    <m/>
    <m/>
  </r>
  <r>
    <n v="49"/>
    <s v="No"/>
    <s v="Travel_Rarely"/>
    <n v="722"/>
    <s v="Research &amp; Development"/>
    <n v="25"/>
    <n v="4"/>
    <s v="Life Sciences"/>
    <n v="1"/>
    <n v="1617"/>
    <n v="3"/>
    <s v="Female"/>
    <n v="84"/>
    <n v="3"/>
    <n v="1"/>
    <x v="2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m/>
    <m/>
    <m/>
    <m/>
  </r>
  <r>
    <n v="39"/>
    <s v="No"/>
    <s v="Travel_Rarely"/>
    <n v="1387"/>
    <s v="Research &amp; Development"/>
    <n v="10"/>
    <n v="5"/>
    <s v="Medical"/>
    <n v="1"/>
    <n v="1618"/>
    <n v="2"/>
    <s v="Male"/>
    <n v="76"/>
    <n v="3"/>
    <n v="2"/>
    <x v="3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m/>
    <m/>
    <m/>
    <m/>
  </r>
  <r>
    <n v="27"/>
    <s v="No"/>
    <s v="Travel_Rarely"/>
    <n v="1302"/>
    <s v="Research &amp; Development"/>
    <n v="19"/>
    <n v="3"/>
    <s v="Other"/>
    <n v="1"/>
    <n v="1619"/>
    <n v="4"/>
    <s v="Male"/>
    <n v="67"/>
    <n v="2"/>
    <n v="1"/>
    <x v="2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m/>
    <m/>
    <m/>
    <m/>
  </r>
  <r>
    <n v="35"/>
    <s v="No"/>
    <s v="Travel_Rarely"/>
    <n v="819"/>
    <s v="Research &amp; Development"/>
    <n v="18"/>
    <n v="5"/>
    <s v="Life Sciences"/>
    <n v="1"/>
    <n v="1621"/>
    <n v="2"/>
    <s v="Male"/>
    <n v="48"/>
    <n v="4"/>
    <n v="2"/>
    <x v="1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m/>
    <m/>
    <m/>
    <m/>
  </r>
  <r>
    <n v="28"/>
    <s v="No"/>
    <s v="Travel_Rarely"/>
    <n v="580"/>
    <s v="Research &amp; Development"/>
    <n v="27"/>
    <n v="3"/>
    <s v="Medical"/>
    <n v="1"/>
    <n v="1622"/>
    <n v="2"/>
    <s v="Female"/>
    <n v="39"/>
    <n v="1"/>
    <n v="2"/>
    <x v="3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m/>
    <m/>
    <m/>
    <m/>
  </r>
  <r>
    <n v="21"/>
    <s v="No"/>
    <s v="Travel_Rarely"/>
    <n v="546"/>
    <s v="Research &amp; Development"/>
    <n v="5"/>
    <n v="1"/>
    <s v="Medical"/>
    <n v="1"/>
    <n v="1623"/>
    <n v="3"/>
    <s v="Male"/>
    <n v="97"/>
    <n v="3"/>
    <n v="1"/>
    <x v="1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m/>
    <m/>
    <m/>
    <m/>
  </r>
  <r>
    <n v="18"/>
    <s v="Yes"/>
    <s v="Travel_Frequently"/>
    <n v="544"/>
    <s v="Sales"/>
    <n v="3"/>
    <n v="2"/>
    <s v="Medical"/>
    <n v="1"/>
    <n v="1624"/>
    <n v="2"/>
    <s v="Female"/>
    <n v="70"/>
    <n v="3"/>
    <n v="1"/>
    <x v="6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m/>
    <m/>
    <m/>
    <m/>
  </r>
  <r>
    <n v="47"/>
    <s v="No"/>
    <s v="Travel_Rarely"/>
    <n v="1176"/>
    <s v="Human Resources"/>
    <n v="26"/>
    <n v="4"/>
    <s v="Life Sciences"/>
    <n v="1"/>
    <n v="1625"/>
    <n v="4"/>
    <s v="Female"/>
    <n v="98"/>
    <n v="3"/>
    <n v="5"/>
    <x v="5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m/>
    <m/>
    <m/>
    <m/>
  </r>
  <r>
    <n v="39"/>
    <s v="No"/>
    <s v="Travel_Rarely"/>
    <n v="170"/>
    <s v="Research &amp; Development"/>
    <n v="3"/>
    <n v="2"/>
    <s v="Medical"/>
    <n v="1"/>
    <n v="1627"/>
    <n v="3"/>
    <s v="Male"/>
    <n v="76"/>
    <n v="2"/>
    <n v="2"/>
    <x v="2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m/>
    <m/>
    <m/>
    <m/>
  </r>
  <r>
    <n v="40"/>
    <s v="No"/>
    <s v="Travel_Rarely"/>
    <n v="884"/>
    <s v="Research &amp; Development"/>
    <n v="15"/>
    <n v="3"/>
    <s v="Life Sciences"/>
    <n v="1"/>
    <n v="1628"/>
    <n v="1"/>
    <s v="Female"/>
    <n v="80"/>
    <n v="2"/>
    <n v="3"/>
    <x v="3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m/>
    <m/>
    <m/>
    <m/>
  </r>
  <r>
    <n v="35"/>
    <s v="No"/>
    <s v="Non-Travel"/>
    <n v="208"/>
    <s v="Research &amp; Development"/>
    <n v="8"/>
    <n v="4"/>
    <s v="Life Sciences"/>
    <n v="1"/>
    <n v="1630"/>
    <n v="3"/>
    <s v="Female"/>
    <n v="52"/>
    <n v="3"/>
    <n v="2"/>
    <x v="4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m/>
    <m/>
    <m/>
    <m/>
  </r>
  <r>
    <n v="37"/>
    <s v="No"/>
    <s v="Travel_Rarely"/>
    <n v="671"/>
    <s v="Research &amp; Development"/>
    <n v="19"/>
    <n v="3"/>
    <s v="Life Sciences"/>
    <n v="1"/>
    <n v="1631"/>
    <n v="3"/>
    <s v="Male"/>
    <n v="85"/>
    <n v="3"/>
    <n v="2"/>
    <x v="3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m/>
    <m/>
    <m/>
    <m/>
  </r>
  <r>
    <n v="39"/>
    <s v="No"/>
    <s v="Travel_Frequently"/>
    <n v="711"/>
    <s v="Research &amp; Development"/>
    <n v="4"/>
    <n v="3"/>
    <s v="Medical"/>
    <n v="1"/>
    <n v="1633"/>
    <n v="1"/>
    <s v="Female"/>
    <n v="81"/>
    <n v="3"/>
    <n v="2"/>
    <x v="3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m/>
    <m/>
    <m/>
    <m/>
  </r>
  <r>
    <n v="45"/>
    <s v="No"/>
    <s v="Travel_Rarely"/>
    <n v="1329"/>
    <s v="Research &amp; Development"/>
    <n v="2"/>
    <n v="2"/>
    <s v="Other"/>
    <n v="1"/>
    <n v="1635"/>
    <n v="4"/>
    <s v="Female"/>
    <n v="59"/>
    <n v="2"/>
    <n v="2"/>
    <x v="3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m/>
    <m/>
    <m/>
    <m/>
  </r>
  <r>
    <n v="38"/>
    <s v="No"/>
    <s v="Travel_Rarely"/>
    <n v="397"/>
    <s v="Research &amp; Development"/>
    <n v="2"/>
    <n v="2"/>
    <s v="Medical"/>
    <n v="1"/>
    <n v="1638"/>
    <n v="4"/>
    <s v="Female"/>
    <n v="54"/>
    <n v="2"/>
    <n v="3"/>
    <x v="3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m/>
    <m/>
    <m/>
    <m/>
  </r>
  <r>
    <n v="35"/>
    <s v="Yes"/>
    <s v="Travel_Rarely"/>
    <n v="737"/>
    <s v="Sales"/>
    <n v="10"/>
    <n v="3"/>
    <s v="Medical"/>
    <n v="1"/>
    <n v="1639"/>
    <n v="4"/>
    <s v="Male"/>
    <n v="55"/>
    <n v="2"/>
    <n v="3"/>
    <x v="0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m/>
    <m/>
    <m/>
    <m/>
  </r>
  <r>
    <n v="37"/>
    <s v="No"/>
    <s v="Travel_Rarely"/>
    <n v="1470"/>
    <s v="Research &amp; Development"/>
    <n v="10"/>
    <n v="3"/>
    <s v="Medical"/>
    <n v="1"/>
    <n v="1640"/>
    <n v="2"/>
    <s v="Female"/>
    <n v="71"/>
    <n v="3"/>
    <n v="1"/>
    <x v="1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m/>
    <m/>
    <m/>
    <m/>
  </r>
  <r>
    <n v="40"/>
    <s v="No"/>
    <s v="Travel_Rarely"/>
    <n v="448"/>
    <s v="Research &amp; Development"/>
    <n v="16"/>
    <n v="3"/>
    <s v="Life Sciences"/>
    <n v="1"/>
    <n v="1641"/>
    <n v="3"/>
    <s v="Female"/>
    <n v="84"/>
    <n v="3"/>
    <n v="3"/>
    <x v="3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m/>
    <m/>
    <m/>
    <m/>
  </r>
  <r>
    <n v="44"/>
    <s v="No"/>
    <s v="Travel_Frequently"/>
    <n v="602"/>
    <s v="Human Resources"/>
    <n v="1"/>
    <n v="5"/>
    <s v="Human Resources"/>
    <n v="1"/>
    <n v="1642"/>
    <n v="1"/>
    <s v="Male"/>
    <n v="37"/>
    <n v="3"/>
    <n v="2"/>
    <x v="8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m/>
    <m/>
    <m/>
    <m/>
  </r>
  <r>
    <n v="48"/>
    <s v="No"/>
    <s v="Travel_Frequently"/>
    <n v="365"/>
    <s v="Research &amp; Development"/>
    <n v="4"/>
    <n v="5"/>
    <s v="Medical"/>
    <n v="1"/>
    <n v="1644"/>
    <n v="3"/>
    <s v="Male"/>
    <n v="89"/>
    <n v="2"/>
    <n v="4"/>
    <x v="5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m/>
    <m/>
    <m/>
    <m/>
  </r>
  <r>
    <n v="35"/>
    <s v="Yes"/>
    <s v="Travel_Rarely"/>
    <n v="763"/>
    <s v="Sales"/>
    <n v="15"/>
    <n v="2"/>
    <s v="Medical"/>
    <n v="1"/>
    <n v="1645"/>
    <n v="1"/>
    <s v="Male"/>
    <n v="59"/>
    <n v="1"/>
    <n v="2"/>
    <x v="0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m/>
    <m/>
    <m/>
    <m/>
  </r>
  <r>
    <n v="24"/>
    <s v="No"/>
    <s v="Travel_Frequently"/>
    <n v="567"/>
    <s v="Research &amp; Development"/>
    <n v="2"/>
    <n v="1"/>
    <s v="Technical Degree"/>
    <n v="1"/>
    <n v="1646"/>
    <n v="1"/>
    <s v="Female"/>
    <n v="32"/>
    <n v="3"/>
    <n v="1"/>
    <x v="1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m/>
    <m/>
    <m/>
    <m/>
  </r>
  <r>
    <n v="27"/>
    <s v="No"/>
    <s v="Travel_Rarely"/>
    <n v="486"/>
    <s v="Research &amp; Development"/>
    <n v="8"/>
    <n v="3"/>
    <s v="Medical"/>
    <n v="1"/>
    <n v="1647"/>
    <n v="2"/>
    <s v="Female"/>
    <n v="86"/>
    <n v="4"/>
    <n v="1"/>
    <x v="1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m/>
    <m/>
    <m/>
    <m/>
  </r>
  <r>
    <n v="27"/>
    <s v="No"/>
    <s v="Travel_Frequently"/>
    <n v="591"/>
    <s v="Research &amp; Development"/>
    <n v="2"/>
    <n v="3"/>
    <s v="Medical"/>
    <n v="1"/>
    <n v="1648"/>
    <n v="4"/>
    <s v="Male"/>
    <n v="87"/>
    <n v="3"/>
    <n v="1"/>
    <x v="1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m/>
    <m/>
    <m/>
    <m/>
  </r>
  <r>
    <n v="40"/>
    <s v="Yes"/>
    <s v="Travel_Rarely"/>
    <n v="1329"/>
    <s v="Research &amp; Development"/>
    <n v="7"/>
    <n v="3"/>
    <s v="Life Sciences"/>
    <n v="1"/>
    <n v="1649"/>
    <n v="1"/>
    <s v="Male"/>
    <n v="73"/>
    <n v="3"/>
    <n v="1"/>
    <x v="2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m/>
    <m/>
    <m/>
    <m/>
  </r>
  <r>
    <n v="29"/>
    <s v="No"/>
    <s v="Travel_Rarely"/>
    <n v="469"/>
    <s v="Sales"/>
    <n v="10"/>
    <n v="3"/>
    <s v="Medical"/>
    <n v="1"/>
    <n v="1650"/>
    <n v="3"/>
    <s v="Male"/>
    <n v="42"/>
    <n v="2"/>
    <n v="2"/>
    <x v="0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m/>
    <m/>
    <m/>
    <m/>
  </r>
  <r>
    <n v="36"/>
    <s v="No"/>
    <s v="Travel_Rarely"/>
    <n v="711"/>
    <s v="Research &amp; Development"/>
    <n v="5"/>
    <n v="4"/>
    <s v="Life Sciences"/>
    <n v="1"/>
    <n v="1651"/>
    <n v="2"/>
    <s v="Female"/>
    <n v="42"/>
    <n v="3"/>
    <n v="3"/>
    <x v="4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m/>
    <m/>
    <m/>
    <m/>
  </r>
  <r>
    <n v="25"/>
    <s v="No"/>
    <s v="Travel_Frequently"/>
    <n v="772"/>
    <s v="Research &amp; Development"/>
    <n v="2"/>
    <n v="1"/>
    <s v="Life Sciences"/>
    <n v="1"/>
    <n v="1653"/>
    <n v="4"/>
    <s v="Male"/>
    <n v="77"/>
    <n v="4"/>
    <n v="2"/>
    <x v="3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m/>
    <m/>
    <m/>
    <m/>
  </r>
  <r>
    <n v="39"/>
    <s v="No"/>
    <s v="Travel_Rarely"/>
    <n v="492"/>
    <s v="Research &amp; Development"/>
    <n v="12"/>
    <n v="3"/>
    <s v="Medical"/>
    <n v="1"/>
    <n v="1654"/>
    <n v="4"/>
    <s v="Male"/>
    <n v="66"/>
    <n v="3"/>
    <n v="2"/>
    <x v="3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m/>
    <m/>
    <m/>
    <m/>
  </r>
  <r>
    <n v="49"/>
    <s v="No"/>
    <s v="Travel_Rarely"/>
    <n v="301"/>
    <s v="Research &amp; Development"/>
    <n v="22"/>
    <n v="4"/>
    <s v="Other"/>
    <n v="1"/>
    <n v="1655"/>
    <n v="1"/>
    <s v="Female"/>
    <n v="72"/>
    <n v="3"/>
    <n v="4"/>
    <x v="7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m/>
    <m/>
    <m/>
    <m/>
  </r>
  <r>
    <n v="50"/>
    <s v="No"/>
    <s v="Travel_Rarely"/>
    <n v="813"/>
    <s v="Research &amp; Development"/>
    <n v="17"/>
    <n v="5"/>
    <s v="Life Sciences"/>
    <n v="1"/>
    <n v="1656"/>
    <n v="4"/>
    <s v="Female"/>
    <n v="50"/>
    <n v="2"/>
    <n v="3"/>
    <x v="7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m/>
    <m/>
    <m/>
    <m/>
  </r>
  <r>
    <n v="20"/>
    <s v="No"/>
    <s v="Travel_Rarely"/>
    <n v="1141"/>
    <s v="Sales"/>
    <n v="2"/>
    <n v="3"/>
    <s v="Medical"/>
    <n v="1"/>
    <n v="1657"/>
    <n v="3"/>
    <s v="Female"/>
    <n v="31"/>
    <n v="3"/>
    <n v="1"/>
    <x v="6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m/>
    <m/>
    <m/>
    <m/>
  </r>
  <r>
    <n v="34"/>
    <s v="No"/>
    <s v="Travel_Rarely"/>
    <n v="1130"/>
    <s v="Research &amp; Development"/>
    <n v="3"/>
    <n v="3"/>
    <s v="Life Sciences"/>
    <n v="1"/>
    <n v="1658"/>
    <n v="4"/>
    <s v="Female"/>
    <n v="66"/>
    <n v="3"/>
    <n v="2"/>
    <x v="1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m/>
    <m/>
    <m/>
    <m/>
  </r>
  <r>
    <n v="36"/>
    <s v="No"/>
    <s v="Travel_Rarely"/>
    <n v="311"/>
    <s v="Research &amp; Development"/>
    <n v="7"/>
    <n v="3"/>
    <s v="Life Sciences"/>
    <n v="1"/>
    <n v="1659"/>
    <n v="1"/>
    <s v="Male"/>
    <n v="77"/>
    <n v="3"/>
    <n v="1"/>
    <x v="2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m/>
    <m/>
    <m/>
    <m/>
  </r>
  <r>
    <n v="49"/>
    <s v="No"/>
    <s v="Travel_Rarely"/>
    <n v="465"/>
    <s v="Research &amp; Development"/>
    <n v="6"/>
    <n v="1"/>
    <s v="Life Sciences"/>
    <n v="1"/>
    <n v="1661"/>
    <n v="3"/>
    <s v="Female"/>
    <n v="41"/>
    <n v="2"/>
    <n v="4"/>
    <x v="4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m/>
    <m/>
    <m/>
    <m/>
  </r>
  <r>
    <n v="36"/>
    <s v="No"/>
    <s v="Non-Travel"/>
    <n v="894"/>
    <s v="Research &amp; Development"/>
    <n v="1"/>
    <n v="4"/>
    <s v="Medical"/>
    <n v="1"/>
    <n v="1662"/>
    <n v="4"/>
    <s v="Female"/>
    <n v="33"/>
    <n v="2"/>
    <n v="2"/>
    <x v="3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m/>
    <m/>
    <m/>
    <m/>
  </r>
  <r>
    <n v="36"/>
    <s v="No"/>
    <s v="Travel_Rarely"/>
    <n v="1040"/>
    <s v="Research &amp; Development"/>
    <n v="3"/>
    <n v="2"/>
    <s v="Life Sciences"/>
    <n v="1"/>
    <n v="1664"/>
    <n v="4"/>
    <s v="Male"/>
    <n v="79"/>
    <n v="4"/>
    <n v="2"/>
    <x v="4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m/>
    <m/>
    <m/>
    <m/>
  </r>
  <r>
    <n v="54"/>
    <s v="No"/>
    <s v="Travel_Rarely"/>
    <n v="584"/>
    <s v="Research &amp; Development"/>
    <n v="22"/>
    <n v="5"/>
    <s v="Medical"/>
    <n v="1"/>
    <n v="1665"/>
    <n v="2"/>
    <s v="Female"/>
    <n v="91"/>
    <n v="3"/>
    <n v="4"/>
    <x v="5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m/>
    <m/>
    <m/>
    <m/>
  </r>
  <r>
    <n v="43"/>
    <s v="No"/>
    <s v="Travel_Rarely"/>
    <n v="1291"/>
    <s v="Research &amp; Development"/>
    <n v="15"/>
    <n v="2"/>
    <s v="Life Sciences"/>
    <n v="1"/>
    <n v="1666"/>
    <n v="3"/>
    <s v="Male"/>
    <n v="65"/>
    <n v="2"/>
    <n v="4"/>
    <x v="7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m/>
    <m/>
    <m/>
    <m/>
  </r>
  <r>
    <n v="35"/>
    <s v="Yes"/>
    <s v="Travel_Frequently"/>
    <n v="880"/>
    <s v="Sales"/>
    <n v="12"/>
    <n v="4"/>
    <s v="Other"/>
    <n v="1"/>
    <n v="1667"/>
    <n v="4"/>
    <s v="Male"/>
    <n v="36"/>
    <n v="3"/>
    <n v="2"/>
    <x v="0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m/>
    <m/>
    <m/>
    <m/>
  </r>
  <r>
    <n v="38"/>
    <s v="No"/>
    <s v="Travel_Frequently"/>
    <n v="1189"/>
    <s v="Research &amp; Development"/>
    <n v="1"/>
    <n v="3"/>
    <s v="Life Sciences"/>
    <n v="1"/>
    <n v="1668"/>
    <n v="4"/>
    <s v="Male"/>
    <n v="90"/>
    <n v="3"/>
    <n v="2"/>
    <x v="1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m/>
    <m/>
    <m/>
    <m/>
  </r>
  <r>
    <n v="29"/>
    <s v="No"/>
    <s v="Travel_Rarely"/>
    <n v="991"/>
    <s v="Sales"/>
    <n v="5"/>
    <n v="3"/>
    <s v="Medical"/>
    <n v="1"/>
    <n v="1669"/>
    <n v="1"/>
    <s v="Male"/>
    <n v="43"/>
    <n v="2"/>
    <n v="2"/>
    <x v="0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m/>
    <m/>
    <m/>
    <m/>
  </r>
  <r>
    <n v="33"/>
    <s v="No"/>
    <s v="Travel_Rarely"/>
    <n v="392"/>
    <s v="Sales"/>
    <n v="2"/>
    <n v="4"/>
    <s v="Medical"/>
    <n v="1"/>
    <n v="1670"/>
    <n v="4"/>
    <s v="Male"/>
    <n v="93"/>
    <n v="3"/>
    <n v="2"/>
    <x v="0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m/>
    <m/>
    <m/>
    <m/>
  </r>
  <r>
    <n v="32"/>
    <s v="No"/>
    <s v="Travel_Rarely"/>
    <n v="977"/>
    <s v="Research &amp; Development"/>
    <n v="2"/>
    <n v="3"/>
    <s v="Medical"/>
    <n v="1"/>
    <n v="1671"/>
    <n v="4"/>
    <s v="Male"/>
    <n v="45"/>
    <n v="3"/>
    <n v="2"/>
    <x v="1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m/>
    <m/>
    <m/>
    <m/>
  </r>
  <r>
    <n v="31"/>
    <s v="No"/>
    <s v="Travel_Rarely"/>
    <n v="1112"/>
    <s v="Sales"/>
    <n v="5"/>
    <n v="4"/>
    <s v="Life Sciences"/>
    <n v="1"/>
    <n v="1673"/>
    <n v="1"/>
    <s v="Female"/>
    <n v="67"/>
    <n v="3"/>
    <n v="2"/>
    <x v="0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m/>
    <m/>
    <m/>
    <m/>
  </r>
  <r>
    <n v="49"/>
    <s v="No"/>
    <s v="Travel_Rarely"/>
    <n v="464"/>
    <s v="Research &amp; Development"/>
    <n v="16"/>
    <n v="3"/>
    <s v="Medical"/>
    <n v="1"/>
    <n v="1674"/>
    <n v="4"/>
    <s v="Female"/>
    <n v="74"/>
    <n v="3"/>
    <n v="1"/>
    <x v="2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m/>
    <m/>
    <m/>
    <m/>
  </r>
  <r>
    <n v="38"/>
    <s v="No"/>
    <s v="Travel_Frequently"/>
    <n v="148"/>
    <s v="Research &amp; Development"/>
    <n v="2"/>
    <n v="3"/>
    <s v="Medical"/>
    <n v="1"/>
    <n v="1675"/>
    <n v="4"/>
    <s v="Female"/>
    <n v="42"/>
    <n v="2"/>
    <n v="1"/>
    <x v="2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m/>
    <m/>
    <m/>
    <m/>
  </r>
  <r>
    <n v="47"/>
    <s v="No"/>
    <s v="Travel_Rarely"/>
    <n v="1225"/>
    <s v="Sales"/>
    <n v="2"/>
    <n v="4"/>
    <s v="Life Sciences"/>
    <n v="1"/>
    <n v="1676"/>
    <n v="2"/>
    <s v="Female"/>
    <n v="47"/>
    <n v="4"/>
    <n v="4"/>
    <x v="5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m/>
    <m/>
    <m/>
    <m/>
  </r>
  <r>
    <n v="49"/>
    <s v="No"/>
    <s v="Travel_Rarely"/>
    <n v="809"/>
    <s v="Research &amp; Development"/>
    <n v="1"/>
    <n v="3"/>
    <s v="Life Sciences"/>
    <n v="1"/>
    <n v="1677"/>
    <n v="3"/>
    <s v="Male"/>
    <n v="36"/>
    <n v="3"/>
    <n v="4"/>
    <x v="5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m/>
    <m/>
    <m/>
    <m/>
  </r>
  <r>
    <n v="41"/>
    <s v="No"/>
    <s v="Travel_Rarely"/>
    <n v="1206"/>
    <s v="Sales"/>
    <n v="23"/>
    <n v="2"/>
    <s v="Life Sciences"/>
    <n v="1"/>
    <n v="1678"/>
    <n v="4"/>
    <s v="Male"/>
    <n v="80"/>
    <n v="3"/>
    <n v="3"/>
    <x v="0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m/>
    <m/>
    <m/>
    <m/>
  </r>
  <r>
    <n v="20"/>
    <s v="No"/>
    <s v="Travel_Rarely"/>
    <n v="727"/>
    <s v="Sales"/>
    <n v="9"/>
    <n v="1"/>
    <s v="Life Sciences"/>
    <n v="1"/>
    <n v="1680"/>
    <n v="4"/>
    <s v="Male"/>
    <n v="54"/>
    <n v="3"/>
    <n v="1"/>
    <x v="6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m/>
    <m/>
    <m/>
    <m/>
  </r>
  <r>
    <n v="33"/>
    <s v="No"/>
    <s v="Non-Travel"/>
    <n v="530"/>
    <s v="Sales"/>
    <n v="16"/>
    <n v="3"/>
    <s v="Life Sciences"/>
    <n v="1"/>
    <n v="1681"/>
    <n v="3"/>
    <s v="Female"/>
    <n v="36"/>
    <n v="3"/>
    <n v="2"/>
    <x v="0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m/>
    <m/>
    <m/>
    <m/>
  </r>
  <r>
    <n v="36"/>
    <s v="No"/>
    <s v="Travel_Rarely"/>
    <n v="1351"/>
    <s v="Research &amp; Development"/>
    <n v="26"/>
    <n v="4"/>
    <s v="Life Sciences"/>
    <n v="1"/>
    <n v="1682"/>
    <n v="1"/>
    <s v="Male"/>
    <n v="80"/>
    <n v="3"/>
    <n v="2"/>
    <x v="4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m/>
    <m/>
    <m/>
    <m/>
  </r>
  <r>
    <n v="44"/>
    <s v="No"/>
    <s v="Travel_Rarely"/>
    <n v="528"/>
    <s v="Human Resources"/>
    <n v="1"/>
    <n v="3"/>
    <s v="Life Sciences"/>
    <n v="1"/>
    <n v="1683"/>
    <n v="3"/>
    <s v="Female"/>
    <n v="44"/>
    <n v="3"/>
    <n v="1"/>
    <x v="8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m/>
    <m/>
    <m/>
    <m/>
  </r>
  <r>
    <n v="23"/>
    <s v="Yes"/>
    <s v="Travel_Rarely"/>
    <n v="1320"/>
    <s v="Research &amp; Development"/>
    <n v="8"/>
    <n v="1"/>
    <s v="Medical"/>
    <n v="1"/>
    <n v="1684"/>
    <n v="4"/>
    <s v="Male"/>
    <n v="93"/>
    <n v="2"/>
    <n v="1"/>
    <x v="2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m/>
    <m/>
    <m/>
    <m/>
  </r>
  <r>
    <n v="38"/>
    <s v="No"/>
    <s v="Travel_Rarely"/>
    <n v="1495"/>
    <s v="Research &amp; Development"/>
    <n v="4"/>
    <n v="2"/>
    <s v="Medical"/>
    <n v="1"/>
    <n v="1687"/>
    <n v="4"/>
    <s v="Female"/>
    <n v="87"/>
    <n v="3"/>
    <n v="1"/>
    <x v="2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m/>
    <m/>
    <m/>
    <m/>
  </r>
  <r>
    <n v="53"/>
    <s v="No"/>
    <s v="Travel_Rarely"/>
    <n v="1395"/>
    <s v="Research &amp; Development"/>
    <n v="24"/>
    <n v="4"/>
    <s v="Medical"/>
    <n v="1"/>
    <n v="1689"/>
    <n v="2"/>
    <s v="Male"/>
    <n v="48"/>
    <n v="4"/>
    <n v="3"/>
    <x v="4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m/>
    <m/>
    <m/>
    <m/>
  </r>
  <r>
    <n v="48"/>
    <s v="Yes"/>
    <s v="Travel_Frequently"/>
    <n v="708"/>
    <s v="Sales"/>
    <n v="7"/>
    <n v="2"/>
    <s v="Medical"/>
    <n v="1"/>
    <n v="1691"/>
    <n v="4"/>
    <s v="Female"/>
    <n v="95"/>
    <n v="3"/>
    <n v="1"/>
    <x v="6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m/>
    <m/>
    <m/>
    <m/>
  </r>
  <r>
    <n v="32"/>
    <s v="Yes"/>
    <s v="Travel_Rarely"/>
    <n v="1259"/>
    <s v="Research &amp; Development"/>
    <n v="2"/>
    <n v="4"/>
    <s v="Life Sciences"/>
    <n v="1"/>
    <n v="1692"/>
    <n v="4"/>
    <s v="Male"/>
    <n v="95"/>
    <n v="3"/>
    <n v="1"/>
    <x v="2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m/>
    <m/>
    <m/>
    <m/>
  </r>
  <r>
    <n v="26"/>
    <s v="No"/>
    <s v="Non-Travel"/>
    <n v="786"/>
    <s v="Research &amp; Development"/>
    <n v="7"/>
    <n v="3"/>
    <s v="Medical"/>
    <n v="1"/>
    <n v="1693"/>
    <n v="4"/>
    <s v="Male"/>
    <n v="76"/>
    <n v="3"/>
    <n v="1"/>
    <x v="2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m/>
    <m/>
    <m/>
    <m/>
  </r>
  <r>
    <n v="55"/>
    <s v="No"/>
    <s v="Travel_Rarely"/>
    <n v="1441"/>
    <s v="Research &amp; Development"/>
    <n v="22"/>
    <n v="3"/>
    <s v="Technical Degree"/>
    <n v="1"/>
    <n v="1694"/>
    <n v="1"/>
    <s v="Male"/>
    <n v="94"/>
    <n v="2"/>
    <n v="1"/>
    <x v="1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m/>
    <m/>
    <m/>
    <m/>
  </r>
  <r>
    <n v="34"/>
    <s v="No"/>
    <s v="Travel_Rarely"/>
    <n v="1157"/>
    <s v="Research &amp; Development"/>
    <n v="5"/>
    <n v="2"/>
    <s v="Medical"/>
    <n v="1"/>
    <n v="1696"/>
    <n v="2"/>
    <s v="Male"/>
    <n v="57"/>
    <n v="2"/>
    <n v="2"/>
    <x v="2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m/>
    <m/>
    <m/>
    <m/>
  </r>
  <r>
    <n v="60"/>
    <s v="No"/>
    <s v="Travel_Rarely"/>
    <n v="370"/>
    <s v="Research &amp; Development"/>
    <n v="1"/>
    <n v="4"/>
    <s v="Medical"/>
    <n v="1"/>
    <n v="1697"/>
    <n v="3"/>
    <s v="Male"/>
    <n v="92"/>
    <n v="1"/>
    <n v="3"/>
    <x v="4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m/>
    <m/>
    <m/>
    <m/>
  </r>
  <r>
    <n v="33"/>
    <s v="No"/>
    <s v="Travel_Rarely"/>
    <n v="267"/>
    <s v="Research &amp; Development"/>
    <n v="21"/>
    <n v="3"/>
    <s v="Medical"/>
    <n v="1"/>
    <n v="1698"/>
    <n v="2"/>
    <s v="Male"/>
    <n v="79"/>
    <n v="4"/>
    <n v="1"/>
    <x v="2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m/>
    <m/>
    <m/>
    <m/>
  </r>
  <r>
    <n v="37"/>
    <s v="No"/>
    <s v="Travel_Frequently"/>
    <n v="1278"/>
    <s v="Sales"/>
    <n v="1"/>
    <n v="4"/>
    <s v="Medical"/>
    <n v="1"/>
    <n v="1700"/>
    <n v="3"/>
    <s v="Male"/>
    <n v="31"/>
    <n v="1"/>
    <n v="2"/>
    <x v="0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m/>
    <m/>
    <m/>
    <m/>
  </r>
  <r>
    <n v="34"/>
    <s v="No"/>
    <s v="Travel_Rarely"/>
    <n v="678"/>
    <s v="Research &amp; Development"/>
    <n v="19"/>
    <n v="3"/>
    <s v="Life Sciences"/>
    <n v="1"/>
    <n v="1701"/>
    <n v="2"/>
    <s v="Female"/>
    <n v="35"/>
    <n v="2"/>
    <n v="1"/>
    <x v="1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m/>
    <m/>
    <m/>
    <m/>
  </r>
  <r>
    <n v="23"/>
    <s v="Yes"/>
    <s v="Travel_Rarely"/>
    <n v="427"/>
    <s v="Sales"/>
    <n v="7"/>
    <n v="3"/>
    <s v="Life Sciences"/>
    <n v="1"/>
    <n v="1702"/>
    <n v="3"/>
    <s v="Male"/>
    <n v="99"/>
    <n v="3"/>
    <n v="1"/>
    <x v="6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m/>
    <m/>
    <m/>
    <m/>
  </r>
  <r>
    <n v="44"/>
    <s v="No"/>
    <s v="Travel_Rarely"/>
    <n v="921"/>
    <s v="Research &amp; Development"/>
    <n v="2"/>
    <n v="3"/>
    <s v="Life Sciences"/>
    <n v="1"/>
    <n v="1703"/>
    <n v="3"/>
    <s v="Female"/>
    <n v="96"/>
    <n v="4"/>
    <n v="3"/>
    <x v="4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m/>
    <m/>
    <m/>
    <m/>
  </r>
  <r>
    <n v="35"/>
    <s v="No"/>
    <s v="Travel_Frequently"/>
    <n v="146"/>
    <s v="Research &amp; Development"/>
    <n v="2"/>
    <n v="4"/>
    <s v="Medical"/>
    <n v="1"/>
    <n v="1704"/>
    <n v="1"/>
    <s v="Male"/>
    <n v="79"/>
    <n v="2"/>
    <n v="1"/>
    <x v="1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m/>
    <m/>
    <m/>
    <m/>
  </r>
  <r>
    <n v="43"/>
    <s v="No"/>
    <s v="Travel_Rarely"/>
    <n v="1179"/>
    <s v="Sales"/>
    <n v="2"/>
    <n v="3"/>
    <s v="Medical"/>
    <n v="1"/>
    <n v="1706"/>
    <n v="4"/>
    <s v="Male"/>
    <n v="73"/>
    <n v="3"/>
    <n v="2"/>
    <x v="0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m/>
    <m/>
    <m/>
    <m/>
  </r>
  <r>
    <n v="24"/>
    <s v="No"/>
    <s v="Travel_Rarely"/>
    <n v="581"/>
    <s v="Research &amp; Development"/>
    <n v="9"/>
    <n v="3"/>
    <s v="Medical"/>
    <n v="1"/>
    <n v="1707"/>
    <n v="3"/>
    <s v="Male"/>
    <n v="62"/>
    <n v="4"/>
    <n v="1"/>
    <x v="1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m/>
    <m/>
    <m/>
    <m/>
  </r>
  <r>
    <n v="41"/>
    <s v="No"/>
    <s v="Travel_Rarely"/>
    <n v="918"/>
    <s v="Sales"/>
    <n v="6"/>
    <n v="3"/>
    <s v="Marketing"/>
    <n v="1"/>
    <n v="1708"/>
    <n v="4"/>
    <s v="Male"/>
    <n v="35"/>
    <n v="3"/>
    <n v="3"/>
    <x v="0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m/>
    <m/>
    <m/>
    <m/>
  </r>
  <r>
    <n v="29"/>
    <s v="No"/>
    <s v="Travel_Rarely"/>
    <n v="1082"/>
    <s v="Research &amp; Development"/>
    <n v="9"/>
    <n v="4"/>
    <s v="Medical"/>
    <n v="1"/>
    <n v="1709"/>
    <n v="4"/>
    <s v="Female"/>
    <n v="43"/>
    <n v="3"/>
    <n v="1"/>
    <x v="2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m/>
    <m/>
    <m/>
    <m/>
  </r>
  <r>
    <n v="36"/>
    <s v="No"/>
    <s v="Travel_Rarely"/>
    <n v="530"/>
    <s v="Sales"/>
    <n v="2"/>
    <n v="4"/>
    <s v="Life Sciences"/>
    <n v="1"/>
    <n v="1710"/>
    <n v="3"/>
    <s v="Female"/>
    <n v="51"/>
    <n v="3"/>
    <n v="2"/>
    <x v="6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m/>
    <m/>
    <m/>
    <m/>
  </r>
  <r>
    <n v="45"/>
    <s v="No"/>
    <s v="Non-Travel"/>
    <n v="1238"/>
    <s v="Research &amp; Development"/>
    <n v="1"/>
    <n v="1"/>
    <s v="Life Sciences"/>
    <n v="1"/>
    <n v="1712"/>
    <n v="3"/>
    <s v="Male"/>
    <n v="74"/>
    <n v="2"/>
    <n v="3"/>
    <x v="4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m/>
    <m/>
    <m/>
    <m/>
  </r>
  <r>
    <n v="24"/>
    <s v="Yes"/>
    <s v="Travel_Rarely"/>
    <n v="240"/>
    <s v="Human Resources"/>
    <n v="22"/>
    <n v="1"/>
    <s v="Human Resources"/>
    <n v="1"/>
    <n v="1714"/>
    <n v="4"/>
    <s v="Male"/>
    <n v="58"/>
    <n v="1"/>
    <n v="1"/>
    <x v="8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m/>
    <m/>
    <m/>
    <m/>
  </r>
  <r>
    <n v="47"/>
    <s v="Yes"/>
    <s v="Travel_Frequently"/>
    <n v="1093"/>
    <s v="Sales"/>
    <n v="9"/>
    <n v="3"/>
    <s v="Life Sciences"/>
    <n v="1"/>
    <n v="1716"/>
    <n v="3"/>
    <s v="Male"/>
    <n v="82"/>
    <n v="1"/>
    <n v="4"/>
    <x v="0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m/>
    <m/>
    <m/>
    <m/>
  </r>
  <r>
    <n v="26"/>
    <s v="No"/>
    <s v="Travel_Rarely"/>
    <n v="390"/>
    <s v="Research &amp; Development"/>
    <n v="17"/>
    <n v="4"/>
    <s v="Medical"/>
    <n v="1"/>
    <n v="1718"/>
    <n v="4"/>
    <s v="Male"/>
    <n v="62"/>
    <n v="1"/>
    <n v="1"/>
    <x v="2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m/>
    <m/>
    <m/>
    <m/>
  </r>
  <r>
    <n v="45"/>
    <s v="No"/>
    <s v="Travel_Rarely"/>
    <n v="1005"/>
    <s v="Research &amp; Development"/>
    <n v="28"/>
    <n v="2"/>
    <s v="Technical Degree"/>
    <n v="1"/>
    <n v="1719"/>
    <n v="4"/>
    <s v="Female"/>
    <n v="48"/>
    <n v="2"/>
    <n v="4"/>
    <x v="7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m/>
    <m/>
    <m/>
    <m/>
  </r>
  <r>
    <n v="32"/>
    <s v="No"/>
    <s v="Travel_Frequently"/>
    <n v="585"/>
    <s v="Research &amp; Development"/>
    <n v="10"/>
    <n v="3"/>
    <s v="Life Sciences"/>
    <n v="1"/>
    <n v="1720"/>
    <n v="1"/>
    <s v="Male"/>
    <n v="56"/>
    <n v="3"/>
    <n v="1"/>
    <x v="1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m/>
    <m/>
    <m/>
    <m/>
  </r>
  <r>
    <n v="31"/>
    <s v="No"/>
    <s v="Travel_Rarely"/>
    <n v="741"/>
    <s v="Research &amp; Development"/>
    <n v="2"/>
    <n v="4"/>
    <s v="Life Sciences"/>
    <n v="1"/>
    <n v="1721"/>
    <n v="2"/>
    <s v="Male"/>
    <n v="69"/>
    <n v="3"/>
    <n v="1"/>
    <x v="2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m/>
    <m/>
    <m/>
    <m/>
  </r>
  <r>
    <n v="41"/>
    <s v="No"/>
    <s v="Non-Travel"/>
    <n v="552"/>
    <s v="Human Resources"/>
    <n v="4"/>
    <n v="3"/>
    <s v="Human Resources"/>
    <n v="1"/>
    <n v="1722"/>
    <n v="3"/>
    <s v="Male"/>
    <n v="60"/>
    <n v="1"/>
    <n v="2"/>
    <x v="8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m/>
    <m/>
    <m/>
    <m/>
  </r>
  <r>
    <n v="40"/>
    <s v="No"/>
    <s v="Travel_Rarely"/>
    <n v="369"/>
    <s v="Research &amp; Development"/>
    <n v="8"/>
    <n v="2"/>
    <s v="Life Sciences"/>
    <n v="1"/>
    <n v="1724"/>
    <n v="2"/>
    <s v="Female"/>
    <n v="92"/>
    <n v="3"/>
    <n v="2"/>
    <x v="3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m/>
    <m/>
    <m/>
    <m/>
  </r>
  <r>
    <n v="24"/>
    <s v="No"/>
    <s v="Travel_Rarely"/>
    <n v="506"/>
    <s v="Research &amp; Development"/>
    <n v="29"/>
    <n v="1"/>
    <s v="Medical"/>
    <n v="1"/>
    <n v="1725"/>
    <n v="2"/>
    <s v="Male"/>
    <n v="91"/>
    <n v="3"/>
    <n v="1"/>
    <x v="2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m/>
    <m/>
    <m/>
    <m/>
  </r>
  <r>
    <n v="46"/>
    <s v="No"/>
    <s v="Travel_Rarely"/>
    <n v="717"/>
    <s v="Research &amp; Development"/>
    <n v="13"/>
    <n v="4"/>
    <s v="Life Sciences"/>
    <n v="1"/>
    <n v="1727"/>
    <n v="3"/>
    <s v="Male"/>
    <n v="34"/>
    <n v="3"/>
    <n v="2"/>
    <x v="4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m/>
    <m/>
    <m/>
    <m/>
  </r>
  <r>
    <n v="35"/>
    <s v="No"/>
    <s v="Travel_Rarely"/>
    <n v="1370"/>
    <s v="Research &amp; Development"/>
    <n v="27"/>
    <n v="4"/>
    <s v="Life Sciences"/>
    <n v="1"/>
    <n v="1728"/>
    <n v="4"/>
    <s v="Male"/>
    <n v="49"/>
    <n v="3"/>
    <n v="2"/>
    <x v="3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m/>
    <m/>
    <m/>
    <m/>
  </r>
  <r>
    <n v="30"/>
    <s v="No"/>
    <s v="Travel_Rarely"/>
    <n v="793"/>
    <s v="Research &amp; Development"/>
    <n v="16"/>
    <n v="1"/>
    <s v="Life Sciences"/>
    <n v="1"/>
    <n v="1729"/>
    <n v="2"/>
    <s v="Male"/>
    <n v="33"/>
    <n v="3"/>
    <n v="1"/>
    <x v="1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m/>
    <m/>
    <m/>
    <m/>
  </r>
  <r>
    <n v="47"/>
    <s v="No"/>
    <s v="Non-Travel"/>
    <n v="543"/>
    <s v="Sales"/>
    <n v="2"/>
    <n v="4"/>
    <s v="Marketing"/>
    <n v="1"/>
    <n v="1731"/>
    <n v="3"/>
    <s v="Male"/>
    <n v="87"/>
    <n v="3"/>
    <n v="2"/>
    <x v="0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m/>
    <m/>
    <m/>
    <m/>
  </r>
  <r>
    <n v="46"/>
    <s v="No"/>
    <s v="Travel_Rarely"/>
    <n v="1277"/>
    <s v="Sales"/>
    <n v="2"/>
    <n v="3"/>
    <s v="Life Sciences"/>
    <n v="1"/>
    <n v="1732"/>
    <n v="3"/>
    <s v="Male"/>
    <n v="74"/>
    <n v="3"/>
    <n v="3"/>
    <x v="0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m/>
    <m/>
    <m/>
    <m/>
  </r>
  <r>
    <n v="36"/>
    <s v="Yes"/>
    <s v="Travel_Rarely"/>
    <n v="1456"/>
    <s v="Sales"/>
    <n v="13"/>
    <n v="5"/>
    <s v="Marketing"/>
    <n v="1"/>
    <n v="1733"/>
    <n v="2"/>
    <s v="Male"/>
    <n v="96"/>
    <n v="2"/>
    <n v="2"/>
    <x v="0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m/>
    <m/>
    <m/>
    <m/>
  </r>
  <r>
    <n v="32"/>
    <s v="Yes"/>
    <s v="Travel_Rarely"/>
    <n v="964"/>
    <s v="Sales"/>
    <n v="1"/>
    <n v="2"/>
    <s v="Life Sciences"/>
    <n v="1"/>
    <n v="1734"/>
    <n v="1"/>
    <s v="Male"/>
    <n v="34"/>
    <n v="1"/>
    <n v="2"/>
    <x v="0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m/>
    <m/>
    <m/>
    <m/>
  </r>
  <r>
    <n v="23"/>
    <s v="No"/>
    <s v="Travel_Rarely"/>
    <n v="160"/>
    <s v="Research &amp; Development"/>
    <n v="4"/>
    <n v="1"/>
    <s v="Medical"/>
    <n v="1"/>
    <n v="1735"/>
    <n v="3"/>
    <s v="Female"/>
    <n v="51"/>
    <n v="3"/>
    <n v="1"/>
    <x v="2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m/>
    <m/>
    <m/>
    <m/>
  </r>
  <r>
    <n v="31"/>
    <s v="No"/>
    <s v="Travel_Frequently"/>
    <n v="163"/>
    <s v="Research &amp; Development"/>
    <n v="24"/>
    <n v="1"/>
    <s v="Technical Degree"/>
    <n v="1"/>
    <n v="1736"/>
    <n v="4"/>
    <s v="Female"/>
    <n v="30"/>
    <n v="3"/>
    <n v="2"/>
    <x v="3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m/>
    <m/>
    <m/>
    <m/>
  </r>
  <r>
    <n v="39"/>
    <s v="No"/>
    <s v="Non-Travel"/>
    <n v="792"/>
    <s v="Research &amp; Development"/>
    <n v="1"/>
    <n v="3"/>
    <s v="Life Sciences"/>
    <n v="1"/>
    <n v="1737"/>
    <n v="4"/>
    <s v="Male"/>
    <n v="77"/>
    <n v="3"/>
    <n v="2"/>
    <x v="2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m/>
    <m/>
    <m/>
    <m/>
  </r>
  <r>
    <n v="32"/>
    <s v="No"/>
    <s v="Travel_Rarely"/>
    <n v="371"/>
    <s v="Sales"/>
    <n v="19"/>
    <n v="3"/>
    <s v="Life Sciences"/>
    <n v="1"/>
    <n v="1739"/>
    <n v="4"/>
    <s v="Male"/>
    <n v="80"/>
    <n v="1"/>
    <n v="3"/>
    <x v="0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m/>
    <m/>
    <m/>
    <m/>
  </r>
  <r>
    <n v="40"/>
    <s v="No"/>
    <s v="Travel_Rarely"/>
    <n v="611"/>
    <s v="Sales"/>
    <n v="7"/>
    <n v="4"/>
    <s v="Medical"/>
    <n v="1"/>
    <n v="1740"/>
    <n v="2"/>
    <s v="Male"/>
    <n v="88"/>
    <n v="3"/>
    <n v="5"/>
    <x v="5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m/>
    <m/>
    <m/>
    <m/>
  </r>
  <r>
    <n v="45"/>
    <s v="No"/>
    <s v="Travel_Rarely"/>
    <n v="176"/>
    <s v="Human Resources"/>
    <n v="4"/>
    <n v="3"/>
    <s v="Life Sciences"/>
    <n v="1"/>
    <n v="1744"/>
    <n v="3"/>
    <s v="Female"/>
    <n v="56"/>
    <n v="1"/>
    <n v="3"/>
    <x v="8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m/>
    <m/>
    <m/>
    <m/>
  </r>
  <r>
    <n v="30"/>
    <s v="No"/>
    <s v="Travel_Frequently"/>
    <n v="1312"/>
    <s v="Research &amp; Development"/>
    <n v="2"/>
    <n v="4"/>
    <s v="Technical Degree"/>
    <n v="1"/>
    <n v="1745"/>
    <n v="4"/>
    <s v="Female"/>
    <n v="78"/>
    <n v="2"/>
    <n v="1"/>
    <x v="1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m/>
    <m/>
    <m/>
    <m/>
  </r>
  <r>
    <n v="24"/>
    <s v="No"/>
    <s v="Travel_Frequently"/>
    <n v="897"/>
    <s v="Human Resources"/>
    <n v="10"/>
    <n v="3"/>
    <s v="Medical"/>
    <n v="1"/>
    <n v="1746"/>
    <n v="1"/>
    <s v="Male"/>
    <n v="59"/>
    <n v="3"/>
    <n v="1"/>
    <x v="8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m/>
    <m/>
    <m/>
    <m/>
  </r>
  <r>
    <n v="30"/>
    <s v="Yes"/>
    <s v="Travel_Frequently"/>
    <n v="600"/>
    <s v="Human Resources"/>
    <n v="8"/>
    <n v="3"/>
    <s v="Human Resources"/>
    <n v="1"/>
    <n v="1747"/>
    <n v="3"/>
    <s v="Female"/>
    <n v="66"/>
    <n v="2"/>
    <n v="1"/>
    <x v="8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m/>
    <m/>
    <m/>
    <m/>
  </r>
  <r>
    <n v="31"/>
    <s v="No"/>
    <s v="Travel_Rarely"/>
    <n v="1003"/>
    <s v="Sales"/>
    <n v="5"/>
    <n v="3"/>
    <s v="Technical Degree"/>
    <n v="1"/>
    <n v="1749"/>
    <n v="1"/>
    <s v="Male"/>
    <n v="51"/>
    <n v="3"/>
    <n v="2"/>
    <x v="0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m/>
    <m/>
    <m/>
    <m/>
  </r>
  <r>
    <n v="27"/>
    <s v="No"/>
    <s v="Travel_Rarely"/>
    <n v="1054"/>
    <s v="Research &amp; Development"/>
    <n v="8"/>
    <n v="3"/>
    <s v="Medical"/>
    <n v="1"/>
    <n v="1751"/>
    <n v="3"/>
    <s v="Female"/>
    <n v="67"/>
    <n v="3"/>
    <n v="1"/>
    <x v="1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m/>
    <m/>
    <m/>
    <m/>
  </r>
  <r>
    <n v="29"/>
    <s v="Yes"/>
    <s v="Travel_Rarely"/>
    <n v="428"/>
    <s v="Sales"/>
    <n v="9"/>
    <n v="3"/>
    <s v="Marketing"/>
    <n v="1"/>
    <n v="1752"/>
    <n v="2"/>
    <s v="Female"/>
    <n v="52"/>
    <n v="1"/>
    <n v="1"/>
    <x v="6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m/>
    <m/>
    <m/>
    <m/>
  </r>
  <r>
    <n v="29"/>
    <s v="No"/>
    <s v="Travel_Frequently"/>
    <n v="461"/>
    <s v="Research &amp; Development"/>
    <n v="1"/>
    <n v="3"/>
    <s v="Life Sciences"/>
    <n v="1"/>
    <n v="1753"/>
    <n v="4"/>
    <s v="Male"/>
    <n v="70"/>
    <n v="4"/>
    <n v="2"/>
    <x v="4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m/>
    <m/>
    <m/>
    <m/>
  </r>
  <r>
    <n v="30"/>
    <s v="No"/>
    <s v="Travel_Rarely"/>
    <n v="979"/>
    <s v="Sales"/>
    <n v="15"/>
    <n v="2"/>
    <s v="Marketing"/>
    <n v="1"/>
    <n v="1754"/>
    <n v="3"/>
    <s v="Male"/>
    <n v="94"/>
    <n v="2"/>
    <n v="3"/>
    <x v="0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m/>
    <m/>
    <m/>
    <m/>
  </r>
  <r>
    <n v="34"/>
    <s v="No"/>
    <s v="Travel_Rarely"/>
    <n v="181"/>
    <s v="Research &amp; Development"/>
    <n v="2"/>
    <n v="4"/>
    <s v="Medical"/>
    <n v="1"/>
    <n v="1755"/>
    <n v="4"/>
    <s v="Male"/>
    <n v="97"/>
    <n v="4"/>
    <n v="1"/>
    <x v="1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m/>
    <m/>
    <m/>
    <m/>
  </r>
  <r>
    <n v="33"/>
    <s v="No"/>
    <s v="Non-Travel"/>
    <n v="1283"/>
    <s v="Sales"/>
    <n v="2"/>
    <n v="3"/>
    <s v="Marketing"/>
    <n v="1"/>
    <n v="1756"/>
    <n v="4"/>
    <s v="Female"/>
    <n v="62"/>
    <n v="3"/>
    <n v="2"/>
    <x v="0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m/>
    <m/>
    <m/>
    <m/>
  </r>
  <r>
    <n v="49"/>
    <s v="No"/>
    <s v="Travel_Rarely"/>
    <n v="1313"/>
    <s v="Sales"/>
    <n v="11"/>
    <n v="4"/>
    <s v="Marketing"/>
    <n v="1"/>
    <n v="1757"/>
    <n v="4"/>
    <s v="Female"/>
    <n v="80"/>
    <n v="3"/>
    <n v="2"/>
    <x v="0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m/>
    <m/>
    <m/>
    <m/>
  </r>
  <r>
    <n v="33"/>
    <s v="Yes"/>
    <s v="Travel_Rarely"/>
    <n v="211"/>
    <s v="Sales"/>
    <n v="16"/>
    <n v="3"/>
    <s v="Life Sciences"/>
    <n v="1"/>
    <n v="1758"/>
    <n v="1"/>
    <s v="Female"/>
    <n v="74"/>
    <n v="3"/>
    <n v="3"/>
    <x v="0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m/>
    <m/>
    <m/>
    <m/>
  </r>
  <r>
    <n v="38"/>
    <s v="No"/>
    <s v="Travel_Frequently"/>
    <n v="594"/>
    <s v="Research &amp; Development"/>
    <n v="2"/>
    <n v="2"/>
    <s v="Medical"/>
    <n v="1"/>
    <n v="1760"/>
    <n v="3"/>
    <s v="Female"/>
    <n v="75"/>
    <n v="2"/>
    <n v="1"/>
    <x v="2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m/>
    <m/>
    <m/>
    <m/>
  </r>
  <r>
    <n v="31"/>
    <s v="Yes"/>
    <s v="Travel_Rarely"/>
    <n v="1079"/>
    <s v="Sales"/>
    <n v="16"/>
    <n v="4"/>
    <s v="Marketing"/>
    <n v="1"/>
    <n v="1761"/>
    <n v="1"/>
    <s v="Male"/>
    <n v="70"/>
    <n v="3"/>
    <n v="3"/>
    <x v="0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m/>
    <m/>
    <m/>
    <m/>
  </r>
  <r>
    <n v="29"/>
    <s v="No"/>
    <s v="Travel_Rarely"/>
    <n v="590"/>
    <s v="Research &amp; Development"/>
    <n v="4"/>
    <n v="3"/>
    <s v="Technical Degree"/>
    <n v="1"/>
    <n v="1762"/>
    <n v="4"/>
    <s v="Female"/>
    <n v="91"/>
    <n v="2"/>
    <n v="1"/>
    <x v="1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m/>
    <m/>
    <m/>
    <m/>
  </r>
  <r>
    <n v="30"/>
    <s v="No"/>
    <s v="Travel_Rarely"/>
    <n v="305"/>
    <s v="Research &amp; Development"/>
    <n v="16"/>
    <n v="3"/>
    <s v="Life Sciences"/>
    <n v="1"/>
    <n v="1763"/>
    <n v="3"/>
    <s v="Male"/>
    <n v="58"/>
    <n v="4"/>
    <n v="2"/>
    <x v="4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m/>
    <m/>
    <m/>
    <m/>
  </r>
  <r>
    <n v="32"/>
    <s v="No"/>
    <s v="Non-Travel"/>
    <n v="953"/>
    <s v="Research &amp; Development"/>
    <n v="5"/>
    <n v="4"/>
    <s v="Technical Degree"/>
    <n v="1"/>
    <n v="1764"/>
    <n v="2"/>
    <s v="Male"/>
    <n v="65"/>
    <n v="3"/>
    <n v="1"/>
    <x v="1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m/>
    <m/>
    <m/>
    <m/>
  </r>
  <r>
    <n v="38"/>
    <s v="No"/>
    <s v="Travel_Rarely"/>
    <n v="833"/>
    <s v="Research &amp; Development"/>
    <n v="18"/>
    <n v="3"/>
    <s v="Medical"/>
    <n v="1"/>
    <n v="1766"/>
    <n v="2"/>
    <s v="Male"/>
    <n v="60"/>
    <n v="1"/>
    <n v="2"/>
    <x v="4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m/>
    <m/>
    <m/>
    <m/>
  </r>
  <r>
    <n v="43"/>
    <s v="Yes"/>
    <s v="Travel_Frequently"/>
    <n v="807"/>
    <s v="Research &amp; Development"/>
    <n v="17"/>
    <n v="3"/>
    <s v="Technical Degree"/>
    <n v="1"/>
    <n v="1767"/>
    <n v="3"/>
    <s v="Male"/>
    <n v="38"/>
    <n v="2"/>
    <n v="1"/>
    <x v="1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m/>
    <m/>
    <m/>
    <m/>
  </r>
  <r>
    <n v="42"/>
    <s v="No"/>
    <s v="Travel_Rarely"/>
    <n v="855"/>
    <s v="Research &amp; Development"/>
    <n v="12"/>
    <n v="3"/>
    <s v="Medical"/>
    <n v="1"/>
    <n v="1768"/>
    <n v="2"/>
    <s v="Male"/>
    <n v="57"/>
    <n v="3"/>
    <n v="1"/>
    <x v="2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m/>
    <m/>
    <m/>
    <m/>
  </r>
  <r>
    <n v="55"/>
    <s v="No"/>
    <s v="Travel_Rarely"/>
    <n v="478"/>
    <s v="Research &amp; Development"/>
    <n v="2"/>
    <n v="3"/>
    <s v="Medical"/>
    <n v="1"/>
    <n v="1770"/>
    <n v="3"/>
    <s v="Male"/>
    <n v="60"/>
    <n v="2"/>
    <n v="5"/>
    <x v="7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m/>
    <m/>
    <m/>
    <m/>
  </r>
  <r>
    <n v="33"/>
    <s v="No"/>
    <s v="Non-Travel"/>
    <n v="775"/>
    <s v="Research &amp; Development"/>
    <n v="4"/>
    <n v="3"/>
    <s v="Technical Degree"/>
    <n v="1"/>
    <n v="1771"/>
    <n v="4"/>
    <s v="Male"/>
    <n v="90"/>
    <n v="3"/>
    <n v="2"/>
    <x v="1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m/>
    <m/>
    <m/>
    <m/>
  </r>
  <r>
    <n v="41"/>
    <s v="No"/>
    <s v="Travel_Rarely"/>
    <n v="548"/>
    <s v="Research &amp; Development"/>
    <n v="9"/>
    <n v="4"/>
    <s v="Life Sciences"/>
    <n v="1"/>
    <n v="1772"/>
    <n v="3"/>
    <s v="Male"/>
    <n v="94"/>
    <n v="3"/>
    <n v="1"/>
    <x v="2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m/>
    <m/>
    <m/>
    <m/>
  </r>
  <r>
    <n v="34"/>
    <s v="No"/>
    <s v="Non-Travel"/>
    <n v="1375"/>
    <s v="Sales"/>
    <n v="10"/>
    <n v="3"/>
    <s v="Life Sciences"/>
    <n v="1"/>
    <n v="1774"/>
    <n v="4"/>
    <s v="Male"/>
    <n v="87"/>
    <n v="3"/>
    <n v="2"/>
    <x v="0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m/>
    <m/>
    <m/>
    <m/>
  </r>
  <r>
    <n v="53"/>
    <s v="No"/>
    <s v="Non-Travel"/>
    <n v="661"/>
    <s v="Research &amp; Development"/>
    <n v="1"/>
    <n v="4"/>
    <s v="Medical"/>
    <n v="1"/>
    <n v="1775"/>
    <n v="1"/>
    <s v="Female"/>
    <n v="60"/>
    <n v="2"/>
    <n v="4"/>
    <x v="3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m/>
    <m/>
    <m/>
    <m/>
  </r>
  <r>
    <n v="43"/>
    <s v="No"/>
    <s v="Travel_Rarely"/>
    <n v="244"/>
    <s v="Human Resources"/>
    <n v="2"/>
    <n v="3"/>
    <s v="Life Sciences"/>
    <n v="1"/>
    <n v="1778"/>
    <n v="2"/>
    <s v="Male"/>
    <n v="97"/>
    <n v="3"/>
    <n v="1"/>
    <x v="8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m/>
    <m/>
    <m/>
    <m/>
  </r>
  <r>
    <n v="34"/>
    <s v="No"/>
    <s v="Travel_Rarely"/>
    <n v="511"/>
    <s v="Sales"/>
    <n v="3"/>
    <n v="2"/>
    <s v="Life Sciences"/>
    <n v="1"/>
    <n v="1779"/>
    <n v="4"/>
    <s v="Female"/>
    <n v="32"/>
    <n v="1"/>
    <n v="2"/>
    <x v="0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m/>
    <m/>
    <m/>
    <m/>
  </r>
  <r>
    <n v="21"/>
    <s v="Yes"/>
    <s v="Travel_Rarely"/>
    <n v="337"/>
    <s v="Sales"/>
    <n v="7"/>
    <n v="1"/>
    <s v="Marketing"/>
    <n v="1"/>
    <n v="1780"/>
    <n v="2"/>
    <s v="Male"/>
    <n v="31"/>
    <n v="3"/>
    <n v="1"/>
    <x v="6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m/>
    <m/>
    <m/>
    <m/>
  </r>
  <r>
    <n v="38"/>
    <s v="No"/>
    <s v="Travel_Rarely"/>
    <n v="1153"/>
    <s v="Research &amp; Development"/>
    <n v="6"/>
    <n v="2"/>
    <s v="Other"/>
    <n v="1"/>
    <n v="1782"/>
    <n v="4"/>
    <s v="Female"/>
    <n v="40"/>
    <n v="2"/>
    <n v="1"/>
    <x v="2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m/>
    <m/>
    <m/>
    <m/>
  </r>
  <r>
    <n v="22"/>
    <s v="Yes"/>
    <s v="Travel_Rarely"/>
    <n v="1294"/>
    <s v="Research &amp; Development"/>
    <n v="8"/>
    <n v="1"/>
    <s v="Medical"/>
    <n v="1"/>
    <n v="1783"/>
    <n v="3"/>
    <s v="Female"/>
    <n v="79"/>
    <n v="3"/>
    <n v="1"/>
    <x v="2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m/>
    <m/>
    <m/>
    <m/>
  </r>
  <r>
    <n v="31"/>
    <s v="No"/>
    <s v="Travel_Rarely"/>
    <n v="196"/>
    <s v="Sales"/>
    <n v="29"/>
    <n v="4"/>
    <s v="Marketing"/>
    <n v="1"/>
    <n v="1784"/>
    <n v="1"/>
    <s v="Female"/>
    <n v="91"/>
    <n v="2"/>
    <n v="2"/>
    <x v="0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m/>
    <m/>
    <m/>
    <m/>
  </r>
  <r>
    <n v="51"/>
    <s v="No"/>
    <s v="Travel_Rarely"/>
    <n v="942"/>
    <s v="Research &amp; Development"/>
    <n v="3"/>
    <n v="3"/>
    <s v="Technical Degree"/>
    <n v="1"/>
    <n v="1786"/>
    <n v="1"/>
    <s v="Female"/>
    <n v="53"/>
    <n v="3"/>
    <n v="3"/>
    <x v="5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m/>
    <m/>
    <m/>
    <m/>
  </r>
  <r>
    <n v="37"/>
    <s v="No"/>
    <s v="Travel_Rarely"/>
    <n v="589"/>
    <s v="Sales"/>
    <n v="9"/>
    <n v="2"/>
    <s v="Marketing"/>
    <n v="1"/>
    <n v="1787"/>
    <n v="2"/>
    <s v="Male"/>
    <n v="46"/>
    <n v="2"/>
    <n v="2"/>
    <x v="0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m/>
    <m/>
    <m/>
    <m/>
  </r>
  <r>
    <n v="46"/>
    <s v="No"/>
    <s v="Travel_Rarely"/>
    <n v="734"/>
    <s v="Research &amp; Development"/>
    <n v="2"/>
    <n v="4"/>
    <s v="Medical"/>
    <n v="1"/>
    <n v="1789"/>
    <n v="3"/>
    <s v="Male"/>
    <n v="46"/>
    <n v="3"/>
    <n v="5"/>
    <x v="7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m/>
    <m/>
    <m/>
    <m/>
  </r>
  <r>
    <n v="36"/>
    <s v="No"/>
    <s v="Travel_Rarely"/>
    <n v="1383"/>
    <s v="Research &amp; Development"/>
    <n v="10"/>
    <n v="3"/>
    <s v="Life Sciences"/>
    <n v="1"/>
    <n v="1790"/>
    <n v="4"/>
    <s v="Male"/>
    <n v="90"/>
    <n v="3"/>
    <n v="3"/>
    <x v="4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m/>
    <m/>
    <m/>
    <m/>
  </r>
  <r>
    <n v="44"/>
    <s v="Yes"/>
    <s v="Travel_Frequently"/>
    <n v="429"/>
    <s v="Research &amp; Development"/>
    <n v="1"/>
    <n v="2"/>
    <s v="Medical"/>
    <n v="1"/>
    <n v="1792"/>
    <n v="3"/>
    <s v="Male"/>
    <n v="99"/>
    <n v="3"/>
    <n v="1"/>
    <x v="1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m/>
    <m/>
    <m/>
    <m/>
  </r>
  <r>
    <n v="37"/>
    <s v="No"/>
    <s v="Travel_Rarely"/>
    <n v="1239"/>
    <s v="Human Resources"/>
    <n v="8"/>
    <n v="2"/>
    <s v="Other"/>
    <n v="1"/>
    <n v="1794"/>
    <n v="3"/>
    <s v="Male"/>
    <n v="89"/>
    <n v="3"/>
    <n v="2"/>
    <x v="8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m/>
    <m/>
    <m/>
    <m/>
  </r>
  <r>
    <n v="35"/>
    <s v="Yes"/>
    <s v="Travel_Rarely"/>
    <n v="303"/>
    <s v="Sales"/>
    <n v="27"/>
    <n v="3"/>
    <s v="Life Sciences"/>
    <n v="1"/>
    <n v="1797"/>
    <n v="3"/>
    <s v="Male"/>
    <n v="84"/>
    <n v="3"/>
    <n v="2"/>
    <x v="0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m/>
    <m/>
    <m/>
    <m/>
  </r>
  <r>
    <n v="33"/>
    <s v="No"/>
    <s v="Travel_Rarely"/>
    <n v="867"/>
    <s v="Research &amp; Development"/>
    <n v="8"/>
    <n v="4"/>
    <s v="Life Sciences"/>
    <n v="1"/>
    <n v="1798"/>
    <n v="4"/>
    <s v="Male"/>
    <n v="90"/>
    <n v="4"/>
    <n v="1"/>
    <x v="1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m/>
    <m/>
    <m/>
    <m/>
  </r>
  <r>
    <n v="28"/>
    <s v="No"/>
    <s v="Travel_Rarely"/>
    <n v="1181"/>
    <s v="Research &amp; Development"/>
    <n v="1"/>
    <n v="3"/>
    <s v="Life Sciences"/>
    <n v="1"/>
    <n v="1799"/>
    <n v="3"/>
    <s v="Male"/>
    <n v="82"/>
    <n v="3"/>
    <n v="1"/>
    <x v="1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m/>
    <m/>
    <m/>
    <m/>
  </r>
  <r>
    <n v="39"/>
    <s v="No"/>
    <s v="Travel_Rarely"/>
    <n v="1253"/>
    <s v="Research &amp; Development"/>
    <n v="10"/>
    <n v="1"/>
    <s v="Medical"/>
    <n v="1"/>
    <n v="1800"/>
    <n v="3"/>
    <s v="Male"/>
    <n v="65"/>
    <n v="3"/>
    <n v="3"/>
    <x v="7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m/>
    <m/>
    <m/>
    <m/>
  </r>
  <r>
    <n v="46"/>
    <s v="No"/>
    <s v="Non-Travel"/>
    <n v="849"/>
    <s v="Sales"/>
    <n v="26"/>
    <n v="2"/>
    <s v="Life Sciences"/>
    <n v="1"/>
    <n v="1801"/>
    <n v="2"/>
    <s v="Male"/>
    <n v="98"/>
    <n v="2"/>
    <n v="2"/>
    <x v="0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m/>
    <m/>
    <m/>
    <m/>
  </r>
  <r>
    <n v="40"/>
    <s v="No"/>
    <s v="Travel_Rarely"/>
    <n v="616"/>
    <s v="Research &amp; Development"/>
    <n v="2"/>
    <n v="2"/>
    <s v="Life Sciences"/>
    <n v="1"/>
    <n v="1802"/>
    <n v="3"/>
    <s v="Female"/>
    <n v="99"/>
    <n v="3"/>
    <n v="1"/>
    <x v="2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m/>
    <m/>
    <m/>
    <m/>
  </r>
  <r>
    <n v="42"/>
    <s v="No"/>
    <s v="Travel_Rarely"/>
    <n v="1128"/>
    <s v="Research &amp; Development"/>
    <n v="13"/>
    <n v="3"/>
    <s v="Medical"/>
    <n v="1"/>
    <n v="1803"/>
    <n v="2"/>
    <s v="Male"/>
    <n v="95"/>
    <n v="4"/>
    <n v="2"/>
    <x v="4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m/>
    <m/>
    <m/>
    <m/>
  </r>
  <r>
    <n v="35"/>
    <s v="No"/>
    <s v="Non-Travel"/>
    <n v="1180"/>
    <s v="Research &amp; Development"/>
    <n v="2"/>
    <n v="2"/>
    <s v="Medical"/>
    <n v="1"/>
    <n v="1804"/>
    <n v="2"/>
    <s v="Male"/>
    <n v="90"/>
    <n v="3"/>
    <n v="2"/>
    <x v="3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m/>
    <m/>
    <m/>
    <m/>
  </r>
  <r>
    <n v="38"/>
    <s v="No"/>
    <s v="Non-Travel"/>
    <n v="1336"/>
    <s v="Human Resources"/>
    <n v="2"/>
    <n v="3"/>
    <s v="Human Resources"/>
    <n v="1"/>
    <n v="1805"/>
    <n v="1"/>
    <s v="Male"/>
    <n v="100"/>
    <n v="3"/>
    <n v="1"/>
    <x v="8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m/>
    <m/>
    <m/>
    <m/>
  </r>
  <r>
    <n v="34"/>
    <s v="Yes"/>
    <s v="Travel_Frequently"/>
    <n v="234"/>
    <s v="Research &amp; Development"/>
    <n v="9"/>
    <n v="4"/>
    <s v="Life Sciences"/>
    <n v="1"/>
    <n v="1807"/>
    <n v="4"/>
    <s v="Male"/>
    <n v="93"/>
    <n v="3"/>
    <n v="2"/>
    <x v="2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m/>
    <m/>
    <m/>
    <m/>
  </r>
  <r>
    <n v="37"/>
    <s v="Yes"/>
    <s v="Travel_Rarely"/>
    <n v="370"/>
    <s v="Research &amp; Development"/>
    <n v="10"/>
    <n v="4"/>
    <s v="Medical"/>
    <n v="1"/>
    <n v="1809"/>
    <n v="4"/>
    <s v="Male"/>
    <n v="58"/>
    <n v="3"/>
    <n v="2"/>
    <x v="3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m/>
    <m/>
    <m/>
    <m/>
  </r>
  <r>
    <n v="39"/>
    <s v="No"/>
    <s v="Travel_Frequently"/>
    <n v="766"/>
    <s v="Sales"/>
    <n v="20"/>
    <n v="3"/>
    <s v="Life Sciences"/>
    <n v="1"/>
    <n v="1812"/>
    <n v="3"/>
    <s v="Male"/>
    <n v="83"/>
    <n v="3"/>
    <n v="2"/>
    <x v="0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m/>
    <m/>
    <m/>
    <m/>
  </r>
  <r>
    <n v="43"/>
    <s v="No"/>
    <s v="Non-Travel"/>
    <n v="343"/>
    <s v="Research &amp; Development"/>
    <n v="9"/>
    <n v="3"/>
    <s v="Life Sciences"/>
    <n v="1"/>
    <n v="1813"/>
    <n v="1"/>
    <s v="Male"/>
    <n v="52"/>
    <n v="3"/>
    <n v="1"/>
    <x v="1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m/>
    <m/>
    <m/>
    <m/>
  </r>
  <r>
    <n v="41"/>
    <s v="No"/>
    <s v="Travel_Rarely"/>
    <n v="447"/>
    <s v="Research &amp; Development"/>
    <n v="5"/>
    <n v="3"/>
    <s v="Life Sciences"/>
    <n v="1"/>
    <n v="1814"/>
    <n v="2"/>
    <s v="Male"/>
    <n v="85"/>
    <n v="4"/>
    <n v="2"/>
    <x v="4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m/>
    <m/>
    <m/>
    <m/>
  </r>
  <r>
    <n v="41"/>
    <s v="No"/>
    <s v="Travel_Rarely"/>
    <n v="796"/>
    <s v="Sales"/>
    <n v="4"/>
    <n v="1"/>
    <s v="Marketing"/>
    <n v="1"/>
    <n v="1815"/>
    <n v="3"/>
    <s v="Female"/>
    <n v="81"/>
    <n v="3"/>
    <n v="3"/>
    <x v="0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m/>
    <m/>
    <m/>
    <m/>
  </r>
  <r>
    <n v="30"/>
    <s v="No"/>
    <s v="Travel_Rarely"/>
    <n v="1092"/>
    <s v="Research &amp; Development"/>
    <n v="10"/>
    <n v="3"/>
    <s v="Medical"/>
    <n v="1"/>
    <n v="1816"/>
    <n v="1"/>
    <s v="Female"/>
    <n v="64"/>
    <n v="3"/>
    <n v="3"/>
    <x v="3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m/>
    <m/>
    <m/>
    <m/>
  </r>
  <r>
    <n v="26"/>
    <s v="Yes"/>
    <s v="Travel_Rarely"/>
    <n v="920"/>
    <s v="Human Resources"/>
    <n v="20"/>
    <n v="2"/>
    <s v="Medical"/>
    <n v="1"/>
    <n v="1818"/>
    <n v="4"/>
    <s v="Female"/>
    <n v="69"/>
    <n v="3"/>
    <n v="1"/>
    <x v="8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m/>
    <m/>
    <m/>
    <m/>
  </r>
  <r>
    <n v="46"/>
    <s v="Yes"/>
    <s v="Travel_Rarely"/>
    <n v="261"/>
    <s v="Research &amp; Development"/>
    <n v="21"/>
    <n v="2"/>
    <s v="Medical"/>
    <n v="1"/>
    <n v="1821"/>
    <n v="4"/>
    <s v="Female"/>
    <n v="66"/>
    <n v="3"/>
    <n v="2"/>
    <x v="4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m/>
    <m/>
    <m/>
    <m/>
  </r>
  <r>
    <n v="40"/>
    <s v="No"/>
    <s v="Travel_Rarely"/>
    <n v="1194"/>
    <s v="Research &amp; Development"/>
    <n v="1"/>
    <n v="3"/>
    <s v="Life Sciences"/>
    <n v="1"/>
    <n v="1822"/>
    <n v="3"/>
    <s v="Female"/>
    <n v="52"/>
    <n v="3"/>
    <n v="2"/>
    <x v="4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m/>
    <m/>
    <m/>
    <m/>
  </r>
  <r>
    <n v="34"/>
    <s v="No"/>
    <s v="Travel_Rarely"/>
    <n v="810"/>
    <s v="Sales"/>
    <n v="8"/>
    <n v="2"/>
    <s v="Technical Degree"/>
    <n v="1"/>
    <n v="1823"/>
    <n v="2"/>
    <s v="Male"/>
    <n v="92"/>
    <n v="4"/>
    <n v="2"/>
    <x v="0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m/>
    <m/>
    <m/>
    <m/>
  </r>
  <r>
    <n v="58"/>
    <s v="No"/>
    <s v="Non-Travel"/>
    <n v="350"/>
    <s v="Sales"/>
    <n v="2"/>
    <n v="3"/>
    <s v="Medical"/>
    <n v="1"/>
    <n v="1824"/>
    <n v="2"/>
    <s v="Male"/>
    <n v="52"/>
    <n v="3"/>
    <n v="4"/>
    <x v="5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m/>
    <m/>
    <m/>
    <m/>
  </r>
  <r>
    <n v="35"/>
    <s v="No"/>
    <s v="Travel_Rarely"/>
    <n v="185"/>
    <s v="Research &amp; Development"/>
    <n v="23"/>
    <n v="4"/>
    <s v="Medical"/>
    <n v="1"/>
    <n v="1826"/>
    <n v="2"/>
    <s v="Male"/>
    <n v="91"/>
    <n v="1"/>
    <n v="1"/>
    <x v="2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m/>
    <m/>
    <m/>
    <m/>
  </r>
  <r>
    <n v="47"/>
    <s v="No"/>
    <s v="Travel_Rarely"/>
    <n v="1001"/>
    <s v="Research &amp; Development"/>
    <n v="4"/>
    <n v="3"/>
    <s v="Life Sciences"/>
    <n v="1"/>
    <n v="1827"/>
    <n v="3"/>
    <s v="Female"/>
    <n v="92"/>
    <n v="2"/>
    <n v="3"/>
    <x v="3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m/>
    <m/>
    <m/>
    <m/>
  </r>
  <r>
    <n v="40"/>
    <s v="No"/>
    <s v="Travel_Rarely"/>
    <n v="750"/>
    <s v="Research &amp; Development"/>
    <n v="12"/>
    <n v="3"/>
    <s v="Life Sciences"/>
    <n v="1"/>
    <n v="1829"/>
    <n v="2"/>
    <s v="Female"/>
    <n v="47"/>
    <n v="3"/>
    <n v="2"/>
    <x v="4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m/>
    <m/>
    <m/>
    <m/>
  </r>
  <r>
    <n v="54"/>
    <s v="No"/>
    <s v="Travel_Rarely"/>
    <n v="431"/>
    <s v="Research &amp; Development"/>
    <n v="7"/>
    <n v="4"/>
    <s v="Medical"/>
    <n v="1"/>
    <n v="1830"/>
    <n v="4"/>
    <s v="Female"/>
    <n v="68"/>
    <n v="3"/>
    <n v="2"/>
    <x v="1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m/>
    <m/>
    <m/>
    <m/>
  </r>
  <r>
    <n v="31"/>
    <s v="No"/>
    <s v="Travel_Frequently"/>
    <n v="1125"/>
    <s v="Sales"/>
    <n v="7"/>
    <n v="4"/>
    <s v="Marketing"/>
    <n v="1"/>
    <n v="1833"/>
    <n v="1"/>
    <s v="Female"/>
    <n v="68"/>
    <n v="3"/>
    <n v="3"/>
    <x v="0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m/>
    <m/>
    <m/>
    <m/>
  </r>
  <r>
    <n v="28"/>
    <s v="No"/>
    <s v="Travel_Rarely"/>
    <n v="1217"/>
    <s v="Research &amp; Development"/>
    <n v="1"/>
    <n v="3"/>
    <s v="Medical"/>
    <n v="1"/>
    <n v="1834"/>
    <n v="3"/>
    <s v="Female"/>
    <n v="67"/>
    <n v="3"/>
    <n v="1"/>
    <x v="1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m/>
    <m/>
    <m/>
    <m/>
  </r>
  <r>
    <n v="38"/>
    <s v="No"/>
    <s v="Travel_Rarely"/>
    <n v="723"/>
    <s v="Sales"/>
    <n v="2"/>
    <n v="4"/>
    <s v="Marketing"/>
    <n v="1"/>
    <n v="1835"/>
    <n v="2"/>
    <s v="Female"/>
    <n v="77"/>
    <n v="1"/>
    <n v="2"/>
    <x v="6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m/>
    <m/>
    <m/>
    <m/>
  </r>
  <r>
    <n v="26"/>
    <s v="No"/>
    <s v="Travel_Rarely"/>
    <n v="572"/>
    <s v="Sales"/>
    <n v="10"/>
    <n v="3"/>
    <s v="Medical"/>
    <n v="1"/>
    <n v="1836"/>
    <n v="3"/>
    <s v="Male"/>
    <n v="46"/>
    <n v="3"/>
    <n v="2"/>
    <x v="0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m/>
    <m/>
    <m/>
    <m/>
  </r>
  <r>
    <n v="58"/>
    <s v="No"/>
    <s v="Travel_Frequently"/>
    <n v="1216"/>
    <s v="Research &amp; Development"/>
    <n v="15"/>
    <n v="4"/>
    <s v="Life Sciences"/>
    <n v="1"/>
    <n v="1837"/>
    <n v="1"/>
    <s v="Male"/>
    <n v="87"/>
    <n v="3"/>
    <n v="4"/>
    <x v="7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m/>
    <m/>
    <m/>
    <m/>
  </r>
  <r>
    <n v="18"/>
    <s v="No"/>
    <s v="Non-Travel"/>
    <n v="1431"/>
    <s v="Research &amp; Development"/>
    <n v="14"/>
    <n v="3"/>
    <s v="Medical"/>
    <n v="1"/>
    <n v="1839"/>
    <n v="2"/>
    <s v="Female"/>
    <n v="33"/>
    <n v="3"/>
    <n v="1"/>
    <x v="1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m/>
    <m/>
    <m/>
    <m/>
  </r>
  <r>
    <n v="31"/>
    <s v="Yes"/>
    <s v="Travel_Rarely"/>
    <n v="359"/>
    <s v="Human Resources"/>
    <n v="18"/>
    <n v="5"/>
    <s v="Human Resources"/>
    <n v="1"/>
    <n v="1842"/>
    <n v="4"/>
    <s v="Male"/>
    <n v="89"/>
    <n v="4"/>
    <n v="1"/>
    <x v="8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m/>
    <m/>
    <m/>
    <m/>
  </r>
  <r>
    <n v="29"/>
    <s v="Yes"/>
    <s v="Travel_Rarely"/>
    <n v="350"/>
    <s v="Human Resources"/>
    <n v="13"/>
    <n v="3"/>
    <s v="Human Resources"/>
    <n v="1"/>
    <n v="1844"/>
    <n v="1"/>
    <s v="Male"/>
    <n v="56"/>
    <n v="2"/>
    <n v="1"/>
    <x v="8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m/>
    <m/>
    <m/>
    <m/>
  </r>
  <r>
    <n v="45"/>
    <s v="No"/>
    <s v="Non-Travel"/>
    <n v="589"/>
    <s v="Sales"/>
    <n v="2"/>
    <n v="4"/>
    <s v="Life Sciences"/>
    <n v="1"/>
    <n v="1845"/>
    <n v="3"/>
    <s v="Female"/>
    <n v="67"/>
    <n v="3"/>
    <n v="2"/>
    <x v="0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m/>
    <m/>
    <m/>
    <m/>
  </r>
  <r>
    <n v="36"/>
    <s v="No"/>
    <s v="Travel_Rarely"/>
    <n v="430"/>
    <s v="Research &amp; Development"/>
    <n v="2"/>
    <n v="4"/>
    <s v="Other"/>
    <n v="1"/>
    <n v="1847"/>
    <n v="4"/>
    <s v="Female"/>
    <n v="73"/>
    <n v="3"/>
    <n v="2"/>
    <x v="1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m/>
    <m/>
    <m/>
    <m/>
  </r>
  <r>
    <n v="43"/>
    <s v="No"/>
    <s v="Travel_Frequently"/>
    <n v="1422"/>
    <s v="Sales"/>
    <n v="2"/>
    <n v="4"/>
    <s v="Life Sciences"/>
    <n v="1"/>
    <n v="1849"/>
    <n v="1"/>
    <s v="Male"/>
    <n v="92"/>
    <n v="3"/>
    <n v="2"/>
    <x v="0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m/>
    <m/>
    <m/>
    <m/>
  </r>
  <r>
    <n v="27"/>
    <s v="No"/>
    <s v="Travel_Frequently"/>
    <n v="1297"/>
    <s v="Research &amp; Development"/>
    <n v="5"/>
    <n v="2"/>
    <s v="Life Sciences"/>
    <n v="1"/>
    <n v="1850"/>
    <n v="4"/>
    <s v="Female"/>
    <n v="53"/>
    <n v="3"/>
    <n v="1"/>
    <x v="2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m/>
    <m/>
    <m/>
    <m/>
  </r>
  <r>
    <n v="29"/>
    <s v="No"/>
    <s v="Travel_Frequently"/>
    <n v="574"/>
    <s v="Research &amp; Development"/>
    <n v="20"/>
    <n v="1"/>
    <s v="Medical"/>
    <n v="1"/>
    <n v="1852"/>
    <n v="4"/>
    <s v="Male"/>
    <n v="40"/>
    <n v="3"/>
    <n v="1"/>
    <x v="2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m/>
    <m/>
    <m/>
    <m/>
  </r>
  <r>
    <n v="32"/>
    <s v="No"/>
    <s v="Travel_Frequently"/>
    <n v="1318"/>
    <s v="Sales"/>
    <n v="10"/>
    <n v="4"/>
    <s v="Marketing"/>
    <n v="1"/>
    <n v="1853"/>
    <n v="4"/>
    <s v="Male"/>
    <n v="79"/>
    <n v="3"/>
    <n v="2"/>
    <x v="0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m/>
    <m/>
    <m/>
    <m/>
  </r>
  <r>
    <n v="42"/>
    <s v="No"/>
    <s v="Non-Travel"/>
    <n v="355"/>
    <s v="Research &amp; Development"/>
    <n v="10"/>
    <n v="4"/>
    <s v="Technical Degree"/>
    <n v="1"/>
    <n v="1854"/>
    <n v="3"/>
    <s v="Male"/>
    <n v="38"/>
    <n v="3"/>
    <n v="1"/>
    <x v="1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m/>
    <m/>
    <m/>
    <m/>
  </r>
  <r>
    <n v="47"/>
    <s v="No"/>
    <s v="Travel_Rarely"/>
    <n v="207"/>
    <s v="Research &amp; Development"/>
    <n v="9"/>
    <n v="4"/>
    <s v="Life Sciences"/>
    <n v="1"/>
    <n v="1856"/>
    <n v="2"/>
    <s v="Female"/>
    <n v="64"/>
    <n v="3"/>
    <n v="1"/>
    <x v="2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m/>
    <m/>
    <m/>
    <m/>
  </r>
  <r>
    <n v="46"/>
    <s v="No"/>
    <s v="Travel_Rarely"/>
    <n v="706"/>
    <s v="Research &amp; Development"/>
    <n v="2"/>
    <n v="2"/>
    <s v="Life Sciences"/>
    <n v="1"/>
    <n v="1857"/>
    <n v="4"/>
    <s v="Male"/>
    <n v="82"/>
    <n v="3"/>
    <n v="3"/>
    <x v="3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m/>
    <m/>
    <m/>
    <m/>
  </r>
  <r>
    <n v="28"/>
    <s v="No"/>
    <s v="Non-Travel"/>
    <n v="280"/>
    <s v="Human Resources"/>
    <n v="1"/>
    <n v="2"/>
    <s v="Life Sciences"/>
    <n v="1"/>
    <n v="1858"/>
    <n v="3"/>
    <s v="Male"/>
    <n v="43"/>
    <n v="3"/>
    <n v="1"/>
    <x v="8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m/>
    <m/>
    <m/>
    <m/>
  </r>
  <r>
    <n v="29"/>
    <s v="No"/>
    <s v="Travel_Rarely"/>
    <n v="726"/>
    <s v="Research &amp; Development"/>
    <n v="29"/>
    <n v="1"/>
    <s v="Life Sciences"/>
    <n v="1"/>
    <n v="1859"/>
    <n v="4"/>
    <s v="Male"/>
    <n v="93"/>
    <n v="1"/>
    <n v="2"/>
    <x v="4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m/>
    <m/>
    <m/>
    <m/>
  </r>
  <r>
    <n v="42"/>
    <s v="No"/>
    <s v="Travel_Rarely"/>
    <n v="1142"/>
    <s v="Research &amp; Development"/>
    <n v="8"/>
    <n v="3"/>
    <s v="Life Sciences"/>
    <n v="1"/>
    <n v="1860"/>
    <n v="4"/>
    <s v="Male"/>
    <n v="81"/>
    <n v="3"/>
    <n v="1"/>
    <x v="2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m/>
    <m/>
    <m/>
    <m/>
  </r>
  <r>
    <n v="32"/>
    <s v="Yes"/>
    <s v="Travel_Rarely"/>
    <n v="414"/>
    <s v="Sales"/>
    <n v="2"/>
    <n v="4"/>
    <s v="Marketing"/>
    <n v="1"/>
    <n v="1862"/>
    <n v="3"/>
    <s v="Male"/>
    <n v="82"/>
    <n v="2"/>
    <n v="2"/>
    <x v="0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m/>
    <m/>
    <m/>
    <m/>
  </r>
  <r>
    <n v="46"/>
    <s v="No"/>
    <s v="Travel_Rarely"/>
    <n v="1319"/>
    <s v="Sales"/>
    <n v="3"/>
    <n v="3"/>
    <s v="Technical Degree"/>
    <n v="1"/>
    <n v="1863"/>
    <n v="1"/>
    <s v="Female"/>
    <n v="45"/>
    <n v="4"/>
    <n v="4"/>
    <x v="0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m/>
    <m/>
    <m/>
    <m/>
  </r>
  <r>
    <n v="27"/>
    <s v="No"/>
    <s v="Travel_Rarely"/>
    <n v="728"/>
    <s v="Sales"/>
    <n v="23"/>
    <n v="1"/>
    <s v="Medical"/>
    <n v="1"/>
    <n v="1864"/>
    <n v="2"/>
    <s v="Female"/>
    <n v="36"/>
    <n v="2"/>
    <n v="2"/>
    <x v="6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m/>
    <m/>
    <m/>
    <m/>
  </r>
  <r>
    <n v="29"/>
    <s v="No"/>
    <s v="Travel_Rarely"/>
    <n v="352"/>
    <s v="Human Resources"/>
    <n v="6"/>
    <n v="1"/>
    <s v="Medical"/>
    <n v="1"/>
    <n v="1865"/>
    <n v="4"/>
    <s v="Male"/>
    <n v="87"/>
    <n v="2"/>
    <n v="1"/>
    <x v="8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m/>
    <m/>
    <m/>
    <m/>
  </r>
  <r>
    <n v="43"/>
    <s v="No"/>
    <s v="Travel_Rarely"/>
    <n v="823"/>
    <s v="Research &amp; Development"/>
    <n v="6"/>
    <n v="3"/>
    <s v="Medical"/>
    <n v="1"/>
    <n v="1866"/>
    <n v="1"/>
    <s v="Female"/>
    <n v="81"/>
    <n v="2"/>
    <n v="5"/>
    <x v="5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m/>
    <m/>
    <m/>
    <m/>
  </r>
  <r>
    <n v="48"/>
    <s v="No"/>
    <s v="Travel_Rarely"/>
    <n v="1224"/>
    <s v="Research &amp; Development"/>
    <n v="10"/>
    <n v="3"/>
    <s v="Life Sciences"/>
    <n v="1"/>
    <n v="1867"/>
    <n v="4"/>
    <s v="Male"/>
    <n v="91"/>
    <n v="2"/>
    <n v="5"/>
    <x v="7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m/>
    <m/>
    <m/>
    <m/>
  </r>
  <r>
    <n v="29"/>
    <s v="Yes"/>
    <s v="Travel_Frequently"/>
    <n v="459"/>
    <s v="Research &amp; Development"/>
    <n v="24"/>
    <n v="2"/>
    <s v="Life Sciences"/>
    <n v="1"/>
    <n v="1868"/>
    <n v="4"/>
    <s v="Male"/>
    <n v="73"/>
    <n v="2"/>
    <n v="1"/>
    <x v="1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m/>
    <m/>
    <m/>
    <m/>
  </r>
  <r>
    <n v="46"/>
    <s v="Yes"/>
    <s v="Travel_Rarely"/>
    <n v="1254"/>
    <s v="Sales"/>
    <n v="10"/>
    <n v="3"/>
    <s v="Life Sciences"/>
    <n v="1"/>
    <n v="1869"/>
    <n v="3"/>
    <s v="Female"/>
    <n v="64"/>
    <n v="3"/>
    <n v="3"/>
    <x v="0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m/>
    <m/>
    <m/>
    <m/>
  </r>
  <r>
    <n v="27"/>
    <s v="No"/>
    <s v="Travel_Frequently"/>
    <n v="1131"/>
    <s v="Research &amp; Development"/>
    <n v="15"/>
    <n v="3"/>
    <s v="Life Sciences"/>
    <n v="1"/>
    <n v="1870"/>
    <n v="4"/>
    <s v="Female"/>
    <n v="77"/>
    <n v="2"/>
    <n v="1"/>
    <x v="1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m/>
    <m/>
    <m/>
    <m/>
  </r>
  <r>
    <n v="39"/>
    <s v="No"/>
    <s v="Travel_Rarely"/>
    <n v="835"/>
    <s v="Research &amp; Development"/>
    <n v="19"/>
    <n v="4"/>
    <s v="Other"/>
    <n v="1"/>
    <n v="1871"/>
    <n v="4"/>
    <s v="Male"/>
    <n v="41"/>
    <n v="3"/>
    <n v="2"/>
    <x v="1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m/>
    <m/>
    <m/>
    <m/>
  </r>
  <r>
    <n v="55"/>
    <s v="No"/>
    <s v="Travel_Rarely"/>
    <n v="836"/>
    <s v="Research &amp; Development"/>
    <n v="2"/>
    <n v="4"/>
    <s v="Technical Degree"/>
    <n v="1"/>
    <n v="1873"/>
    <n v="2"/>
    <s v="Male"/>
    <n v="98"/>
    <n v="2"/>
    <n v="1"/>
    <x v="1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m/>
    <m/>
    <m/>
    <m/>
  </r>
  <r>
    <n v="28"/>
    <s v="No"/>
    <s v="Travel_Rarely"/>
    <n v="1172"/>
    <s v="Sales"/>
    <n v="3"/>
    <n v="3"/>
    <s v="Medical"/>
    <n v="1"/>
    <n v="1875"/>
    <n v="2"/>
    <s v="Female"/>
    <n v="78"/>
    <n v="3"/>
    <n v="1"/>
    <x v="6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m/>
    <m/>
    <m/>
    <m/>
  </r>
  <r>
    <n v="30"/>
    <s v="Yes"/>
    <s v="Travel_Rarely"/>
    <n v="945"/>
    <s v="Sales"/>
    <n v="9"/>
    <n v="3"/>
    <s v="Medical"/>
    <n v="1"/>
    <n v="1876"/>
    <n v="2"/>
    <s v="Male"/>
    <n v="89"/>
    <n v="3"/>
    <n v="1"/>
    <x v="6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m/>
    <m/>
    <m/>
    <m/>
  </r>
  <r>
    <n v="22"/>
    <s v="Yes"/>
    <s v="Travel_Rarely"/>
    <n v="391"/>
    <s v="Research &amp; Development"/>
    <n v="7"/>
    <n v="1"/>
    <s v="Life Sciences"/>
    <n v="1"/>
    <n v="1878"/>
    <n v="4"/>
    <s v="Male"/>
    <n v="75"/>
    <n v="3"/>
    <n v="1"/>
    <x v="1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m/>
    <m/>
    <m/>
    <m/>
  </r>
  <r>
    <n v="36"/>
    <s v="No"/>
    <s v="Travel_Rarely"/>
    <n v="1266"/>
    <s v="Sales"/>
    <n v="10"/>
    <n v="4"/>
    <s v="Technical Degree"/>
    <n v="1"/>
    <n v="1880"/>
    <n v="2"/>
    <s v="Female"/>
    <n v="63"/>
    <n v="2"/>
    <n v="2"/>
    <x v="0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m/>
    <m/>
    <m/>
    <m/>
  </r>
  <r>
    <n v="31"/>
    <s v="No"/>
    <s v="Travel_Rarely"/>
    <n v="311"/>
    <s v="Research &amp; Development"/>
    <n v="20"/>
    <n v="3"/>
    <s v="Life Sciences"/>
    <n v="1"/>
    <n v="1881"/>
    <n v="2"/>
    <s v="Male"/>
    <n v="89"/>
    <n v="3"/>
    <n v="2"/>
    <x v="2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m/>
    <m/>
    <m/>
    <m/>
  </r>
  <r>
    <n v="34"/>
    <s v="No"/>
    <s v="Travel_Rarely"/>
    <n v="1480"/>
    <s v="Sales"/>
    <n v="4"/>
    <n v="3"/>
    <s v="Life Sciences"/>
    <n v="1"/>
    <n v="1882"/>
    <n v="3"/>
    <s v="Male"/>
    <n v="64"/>
    <n v="3"/>
    <n v="3"/>
    <x v="0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m/>
    <m/>
    <m/>
    <m/>
  </r>
  <r>
    <n v="29"/>
    <s v="No"/>
    <s v="Travel_Rarely"/>
    <n v="592"/>
    <s v="Research &amp; Development"/>
    <n v="7"/>
    <n v="3"/>
    <s v="Life Sciences"/>
    <n v="1"/>
    <n v="1883"/>
    <n v="4"/>
    <s v="Male"/>
    <n v="59"/>
    <n v="3"/>
    <n v="1"/>
    <x v="2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m/>
    <m/>
    <m/>
    <m/>
  </r>
  <r>
    <n v="37"/>
    <s v="No"/>
    <s v="Travel_Rarely"/>
    <n v="783"/>
    <s v="Research &amp; Development"/>
    <n v="7"/>
    <n v="4"/>
    <s v="Medical"/>
    <n v="1"/>
    <n v="1885"/>
    <n v="4"/>
    <s v="Male"/>
    <n v="78"/>
    <n v="3"/>
    <n v="2"/>
    <x v="1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m/>
    <m/>
    <m/>
    <m/>
  </r>
  <r>
    <n v="35"/>
    <s v="No"/>
    <s v="Travel_Rarely"/>
    <n v="219"/>
    <s v="Research &amp; Development"/>
    <n v="16"/>
    <n v="2"/>
    <s v="Other"/>
    <n v="1"/>
    <n v="1886"/>
    <n v="4"/>
    <s v="Female"/>
    <n v="44"/>
    <n v="2"/>
    <n v="2"/>
    <x v="3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m/>
    <m/>
    <m/>
    <m/>
  </r>
  <r>
    <n v="45"/>
    <s v="No"/>
    <s v="Travel_Rarely"/>
    <n v="556"/>
    <s v="Research &amp; Development"/>
    <n v="25"/>
    <n v="2"/>
    <s v="Life Sciences"/>
    <n v="1"/>
    <n v="1888"/>
    <n v="2"/>
    <s v="Female"/>
    <n v="93"/>
    <n v="2"/>
    <n v="2"/>
    <x v="3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m/>
    <m/>
    <m/>
    <m/>
  </r>
  <r>
    <n v="36"/>
    <s v="No"/>
    <s v="Travel_Frequently"/>
    <n v="1213"/>
    <s v="Human Resources"/>
    <n v="2"/>
    <n v="1"/>
    <s v="Human Resources"/>
    <n v="1"/>
    <n v="1890"/>
    <n v="2"/>
    <s v="Male"/>
    <n v="94"/>
    <n v="2"/>
    <n v="2"/>
    <x v="8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m/>
    <m/>
    <m/>
    <m/>
  </r>
  <r>
    <n v="40"/>
    <s v="No"/>
    <s v="Travel_Rarely"/>
    <n v="1137"/>
    <s v="Research &amp; Development"/>
    <n v="1"/>
    <n v="4"/>
    <s v="Life Sciences"/>
    <n v="1"/>
    <n v="1892"/>
    <n v="1"/>
    <s v="Male"/>
    <n v="98"/>
    <n v="3"/>
    <n v="4"/>
    <x v="5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m/>
    <m/>
    <m/>
    <m/>
  </r>
  <r>
    <n v="26"/>
    <s v="No"/>
    <s v="Travel_Rarely"/>
    <n v="482"/>
    <s v="Research &amp; Development"/>
    <n v="1"/>
    <n v="2"/>
    <s v="Life Sciences"/>
    <n v="1"/>
    <n v="1893"/>
    <n v="2"/>
    <s v="Female"/>
    <n v="90"/>
    <n v="2"/>
    <n v="1"/>
    <x v="1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m/>
    <m/>
    <m/>
    <m/>
  </r>
  <r>
    <n v="27"/>
    <s v="No"/>
    <s v="Travel_Rarely"/>
    <n v="511"/>
    <s v="Sales"/>
    <n v="2"/>
    <n v="2"/>
    <s v="Medical"/>
    <n v="1"/>
    <n v="1898"/>
    <n v="1"/>
    <s v="Female"/>
    <n v="89"/>
    <n v="4"/>
    <n v="2"/>
    <x v="0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m/>
    <m/>
    <m/>
    <m/>
  </r>
  <r>
    <n v="48"/>
    <s v="No"/>
    <s v="Travel_Frequently"/>
    <n v="117"/>
    <s v="Research &amp; Development"/>
    <n v="22"/>
    <n v="3"/>
    <s v="Medical"/>
    <n v="1"/>
    <n v="1900"/>
    <n v="4"/>
    <s v="Female"/>
    <n v="58"/>
    <n v="3"/>
    <n v="4"/>
    <x v="5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m/>
    <m/>
    <m/>
    <m/>
  </r>
  <r>
    <n v="44"/>
    <s v="No"/>
    <s v="Travel_Rarely"/>
    <n v="170"/>
    <s v="Research &amp; Development"/>
    <n v="1"/>
    <n v="4"/>
    <s v="Life Sciences"/>
    <n v="1"/>
    <n v="1903"/>
    <n v="2"/>
    <s v="Male"/>
    <n v="78"/>
    <n v="4"/>
    <n v="2"/>
    <x v="4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m/>
    <m/>
    <m/>
    <m/>
  </r>
  <r>
    <n v="34"/>
    <s v="Yes"/>
    <s v="Non-Travel"/>
    <n v="967"/>
    <s v="Research &amp; Development"/>
    <n v="16"/>
    <n v="4"/>
    <s v="Technical Degree"/>
    <n v="1"/>
    <n v="1905"/>
    <n v="4"/>
    <s v="Male"/>
    <n v="85"/>
    <n v="1"/>
    <n v="1"/>
    <x v="1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m/>
    <m/>
    <m/>
    <m/>
  </r>
  <r>
    <n v="56"/>
    <s v="Yes"/>
    <s v="Travel_Rarely"/>
    <n v="1162"/>
    <s v="Research &amp; Development"/>
    <n v="24"/>
    <n v="2"/>
    <s v="Life Sciences"/>
    <n v="1"/>
    <n v="1907"/>
    <n v="1"/>
    <s v="Male"/>
    <n v="97"/>
    <n v="3"/>
    <n v="1"/>
    <x v="2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m/>
    <m/>
    <m/>
    <m/>
  </r>
  <r>
    <n v="36"/>
    <s v="No"/>
    <s v="Travel_Rarely"/>
    <n v="335"/>
    <s v="Sales"/>
    <n v="17"/>
    <n v="2"/>
    <s v="Marketing"/>
    <n v="1"/>
    <n v="1908"/>
    <n v="3"/>
    <s v="Male"/>
    <n v="33"/>
    <n v="2"/>
    <n v="2"/>
    <x v="0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m/>
    <m/>
    <m/>
    <m/>
  </r>
  <r>
    <n v="41"/>
    <s v="No"/>
    <s v="Travel_Rarely"/>
    <n v="337"/>
    <s v="Sales"/>
    <n v="8"/>
    <n v="3"/>
    <s v="Marketing"/>
    <n v="1"/>
    <n v="1909"/>
    <n v="3"/>
    <s v="Female"/>
    <n v="54"/>
    <n v="3"/>
    <n v="2"/>
    <x v="0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m/>
    <m/>
    <m/>
    <m/>
  </r>
  <r>
    <n v="42"/>
    <s v="No"/>
    <s v="Travel_Rarely"/>
    <n v="1396"/>
    <s v="Research &amp; Development"/>
    <n v="6"/>
    <n v="3"/>
    <s v="Medical"/>
    <n v="1"/>
    <n v="1911"/>
    <n v="3"/>
    <s v="Male"/>
    <n v="83"/>
    <n v="3"/>
    <n v="3"/>
    <x v="7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m/>
    <m/>
    <m/>
    <m/>
  </r>
  <r>
    <n v="31"/>
    <s v="No"/>
    <s v="Travel_Rarely"/>
    <n v="1079"/>
    <s v="Sales"/>
    <n v="10"/>
    <n v="2"/>
    <s v="Medical"/>
    <n v="1"/>
    <n v="1912"/>
    <n v="3"/>
    <s v="Female"/>
    <n v="86"/>
    <n v="3"/>
    <n v="2"/>
    <x v="0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m/>
    <m/>
    <m/>
    <m/>
  </r>
  <r>
    <n v="34"/>
    <s v="No"/>
    <s v="Travel_Rarely"/>
    <n v="735"/>
    <s v="Sales"/>
    <n v="3"/>
    <n v="1"/>
    <s v="Medical"/>
    <n v="1"/>
    <n v="1915"/>
    <n v="4"/>
    <s v="Female"/>
    <n v="75"/>
    <n v="2"/>
    <n v="2"/>
    <x v="0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m/>
    <m/>
    <m/>
    <m/>
  </r>
  <r>
    <n v="31"/>
    <s v="No"/>
    <s v="Travel_Rarely"/>
    <n v="471"/>
    <s v="Research &amp; Development"/>
    <n v="4"/>
    <n v="3"/>
    <s v="Medical"/>
    <n v="1"/>
    <n v="1916"/>
    <n v="1"/>
    <s v="Female"/>
    <n v="62"/>
    <n v="4"/>
    <n v="1"/>
    <x v="2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m/>
    <m/>
    <m/>
    <m/>
  </r>
  <r>
    <n v="26"/>
    <s v="No"/>
    <s v="Travel_Frequently"/>
    <n v="1096"/>
    <s v="Research &amp; Development"/>
    <n v="6"/>
    <n v="3"/>
    <s v="Other"/>
    <n v="1"/>
    <n v="1918"/>
    <n v="3"/>
    <s v="Male"/>
    <n v="61"/>
    <n v="4"/>
    <n v="1"/>
    <x v="2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m/>
    <m/>
    <m/>
    <m/>
  </r>
  <r>
    <n v="45"/>
    <s v="No"/>
    <s v="Travel_Frequently"/>
    <n v="1297"/>
    <s v="Research &amp; Development"/>
    <n v="1"/>
    <n v="4"/>
    <s v="Medical"/>
    <n v="1"/>
    <n v="1922"/>
    <n v="2"/>
    <s v="Male"/>
    <n v="44"/>
    <n v="3"/>
    <n v="2"/>
    <x v="4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m/>
    <m/>
    <m/>
    <m/>
  </r>
  <r>
    <n v="33"/>
    <s v="No"/>
    <s v="Travel_Rarely"/>
    <n v="217"/>
    <s v="Sales"/>
    <n v="10"/>
    <n v="4"/>
    <s v="Marketing"/>
    <n v="1"/>
    <n v="1924"/>
    <n v="2"/>
    <s v="Male"/>
    <n v="43"/>
    <n v="3"/>
    <n v="2"/>
    <x v="0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m/>
    <m/>
    <m/>
    <m/>
  </r>
  <r>
    <n v="28"/>
    <s v="No"/>
    <s v="Travel_Frequently"/>
    <n v="783"/>
    <s v="Sales"/>
    <n v="1"/>
    <n v="2"/>
    <s v="Life Sciences"/>
    <n v="1"/>
    <n v="1927"/>
    <n v="3"/>
    <s v="Male"/>
    <n v="42"/>
    <n v="2"/>
    <n v="2"/>
    <x v="0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m/>
    <m/>
    <m/>
    <m/>
  </r>
  <r>
    <n v="29"/>
    <s v="Yes"/>
    <s v="Travel_Frequently"/>
    <n v="746"/>
    <s v="Sales"/>
    <n v="24"/>
    <n v="3"/>
    <s v="Technical Degree"/>
    <n v="1"/>
    <n v="1928"/>
    <n v="3"/>
    <s v="Male"/>
    <n v="45"/>
    <n v="4"/>
    <n v="1"/>
    <x v="6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m/>
    <m/>
    <m/>
    <m/>
  </r>
  <r>
    <n v="39"/>
    <s v="No"/>
    <s v="Non-Travel"/>
    <n v="1251"/>
    <s v="Sales"/>
    <n v="21"/>
    <n v="4"/>
    <s v="Life Sciences"/>
    <n v="1"/>
    <n v="1929"/>
    <n v="1"/>
    <s v="Female"/>
    <n v="32"/>
    <n v="1"/>
    <n v="2"/>
    <x v="0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m/>
    <m/>
    <m/>
    <m/>
  </r>
  <r>
    <n v="27"/>
    <s v="No"/>
    <s v="Travel_Rarely"/>
    <n v="1354"/>
    <s v="Research &amp; Development"/>
    <n v="2"/>
    <n v="4"/>
    <s v="Technical Degree"/>
    <n v="1"/>
    <n v="1931"/>
    <n v="2"/>
    <s v="Male"/>
    <n v="41"/>
    <n v="3"/>
    <n v="1"/>
    <x v="1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m/>
    <m/>
    <m/>
    <m/>
  </r>
  <r>
    <n v="34"/>
    <s v="No"/>
    <s v="Travel_Frequently"/>
    <n v="735"/>
    <s v="Research &amp; Development"/>
    <n v="22"/>
    <n v="4"/>
    <s v="Other"/>
    <n v="1"/>
    <n v="1932"/>
    <n v="3"/>
    <s v="Male"/>
    <n v="86"/>
    <n v="2"/>
    <n v="2"/>
    <x v="1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m/>
    <m/>
    <m/>
    <m/>
  </r>
  <r>
    <n v="28"/>
    <s v="Yes"/>
    <s v="Travel_Rarely"/>
    <n v="1475"/>
    <s v="Sales"/>
    <n v="13"/>
    <n v="2"/>
    <s v="Marketing"/>
    <n v="1"/>
    <n v="1933"/>
    <n v="4"/>
    <s v="Female"/>
    <n v="84"/>
    <n v="3"/>
    <n v="2"/>
    <x v="0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m/>
    <m/>
    <m/>
    <m/>
  </r>
  <r>
    <n v="47"/>
    <s v="No"/>
    <s v="Non-Travel"/>
    <n v="1169"/>
    <s v="Research &amp; Development"/>
    <n v="14"/>
    <n v="4"/>
    <s v="Technical Degree"/>
    <n v="1"/>
    <n v="1934"/>
    <n v="3"/>
    <s v="Male"/>
    <n v="64"/>
    <n v="3"/>
    <n v="2"/>
    <x v="1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m/>
    <m/>
    <m/>
    <m/>
  </r>
  <r>
    <n v="56"/>
    <s v="No"/>
    <s v="Travel_Rarely"/>
    <n v="1443"/>
    <s v="Sales"/>
    <n v="11"/>
    <n v="5"/>
    <s v="Marketing"/>
    <n v="1"/>
    <n v="1935"/>
    <n v="4"/>
    <s v="Female"/>
    <n v="89"/>
    <n v="2"/>
    <n v="2"/>
    <x v="0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m/>
    <m/>
    <m/>
    <m/>
  </r>
  <r>
    <n v="39"/>
    <s v="No"/>
    <s v="Travel_Rarely"/>
    <n v="867"/>
    <s v="Research &amp; Development"/>
    <n v="9"/>
    <n v="2"/>
    <s v="Medical"/>
    <n v="1"/>
    <n v="1936"/>
    <n v="1"/>
    <s v="Male"/>
    <n v="87"/>
    <n v="3"/>
    <n v="2"/>
    <x v="3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m/>
    <m/>
    <m/>
    <m/>
  </r>
  <r>
    <n v="38"/>
    <s v="No"/>
    <s v="Travel_Frequently"/>
    <n v="1394"/>
    <s v="Research &amp; Development"/>
    <n v="8"/>
    <n v="3"/>
    <s v="Medical"/>
    <n v="1"/>
    <n v="1937"/>
    <n v="4"/>
    <s v="Female"/>
    <n v="58"/>
    <n v="2"/>
    <n v="2"/>
    <x v="1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m/>
    <m/>
    <m/>
    <m/>
  </r>
  <r>
    <n v="58"/>
    <s v="No"/>
    <s v="Travel_Rarely"/>
    <n v="605"/>
    <s v="Sales"/>
    <n v="21"/>
    <n v="3"/>
    <s v="Life Sciences"/>
    <n v="1"/>
    <n v="1938"/>
    <n v="4"/>
    <s v="Female"/>
    <n v="72"/>
    <n v="3"/>
    <n v="4"/>
    <x v="5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m/>
    <m/>
    <m/>
    <m/>
  </r>
  <r>
    <n v="32"/>
    <s v="Yes"/>
    <s v="Travel_Frequently"/>
    <n v="238"/>
    <s v="Research &amp; Development"/>
    <n v="5"/>
    <n v="2"/>
    <s v="Life Sciences"/>
    <n v="1"/>
    <n v="1939"/>
    <n v="1"/>
    <s v="Female"/>
    <n v="47"/>
    <n v="4"/>
    <n v="1"/>
    <x v="1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m/>
    <m/>
    <m/>
    <m/>
  </r>
  <r>
    <n v="38"/>
    <s v="No"/>
    <s v="Travel_Rarely"/>
    <n v="1206"/>
    <s v="Research &amp; Development"/>
    <n v="9"/>
    <n v="2"/>
    <s v="Life Sciences"/>
    <n v="1"/>
    <n v="1940"/>
    <n v="2"/>
    <s v="Male"/>
    <n v="71"/>
    <n v="3"/>
    <n v="1"/>
    <x v="1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m/>
    <m/>
    <m/>
    <m/>
  </r>
  <r>
    <n v="49"/>
    <s v="No"/>
    <s v="Travel_Frequently"/>
    <n v="1064"/>
    <s v="Research &amp; Development"/>
    <n v="2"/>
    <n v="1"/>
    <s v="Life Sciences"/>
    <n v="1"/>
    <n v="1941"/>
    <n v="2"/>
    <s v="Male"/>
    <n v="42"/>
    <n v="3"/>
    <n v="5"/>
    <x v="7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m/>
    <m/>
    <m/>
    <m/>
  </r>
  <r>
    <n v="42"/>
    <s v="No"/>
    <s v="Travel_Rarely"/>
    <n v="419"/>
    <s v="Sales"/>
    <n v="12"/>
    <n v="4"/>
    <s v="Marketing"/>
    <n v="1"/>
    <n v="1943"/>
    <n v="2"/>
    <s v="Male"/>
    <n v="77"/>
    <n v="3"/>
    <n v="2"/>
    <x v="0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m/>
    <m/>
    <m/>
    <m/>
  </r>
  <r>
    <n v="27"/>
    <s v="Yes"/>
    <s v="Travel_Frequently"/>
    <n v="1337"/>
    <s v="Human Resources"/>
    <n v="22"/>
    <n v="3"/>
    <s v="Human Resources"/>
    <n v="1"/>
    <n v="1944"/>
    <n v="1"/>
    <s v="Female"/>
    <n v="58"/>
    <n v="2"/>
    <n v="1"/>
    <x v="8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m/>
    <m/>
    <m/>
    <m/>
  </r>
  <r>
    <n v="35"/>
    <s v="No"/>
    <s v="Travel_Rarely"/>
    <n v="682"/>
    <s v="Sales"/>
    <n v="18"/>
    <n v="4"/>
    <s v="Medical"/>
    <n v="1"/>
    <n v="1945"/>
    <n v="2"/>
    <s v="Male"/>
    <n v="71"/>
    <n v="3"/>
    <n v="2"/>
    <x v="0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m/>
    <m/>
    <m/>
    <m/>
  </r>
  <r>
    <n v="28"/>
    <s v="No"/>
    <s v="Non-Travel"/>
    <n v="1103"/>
    <s v="Research &amp; Development"/>
    <n v="16"/>
    <n v="3"/>
    <s v="Medical"/>
    <n v="1"/>
    <n v="1947"/>
    <n v="3"/>
    <s v="Male"/>
    <n v="49"/>
    <n v="3"/>
    <n v="1"/>
    <x v="1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m/>
    <m/>
    <m/>
    <m/>
  </r>
  <r>
    <n v="31"/>
    <s v="No"/>
    <s v="Non-Travel"/>
    <n v="976"/>
    <s v="Research &amp; Development"/>
    <n v="3"/>
    <n v="2"/>
    <s v="Medical"/>
    <n v="1"/>
    <n v="1948"/>
    <n v="3"/>
    <s v="Male"/>
    <n v="48"/>
    <n v="3"/>
    <n v="1"/>
    <x v="1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m/>
    <m/>
    <m/>
    <m/>
  </r>
  <r>
    <n v="36"/>
    <s v="No"/>
    <s v="Non-Travel"/>
    <n v="1351"/>
    <s v="Research &amp; Development"/>
    <n v="9"/>
    <n v="4"/>
    <s v="Life Sciences"/>
    <n v="1"/>
    <n v="1949"/>
    <n v="1"/>
    <s v="Male"/>
    <n v="66"/>
    <n v="4"/>
    <n v="1"/>
    <x v="2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m/>
    <m/>
    <m/>
    <m/>
  </r>
  <r>
    <n v="34"/>
    <s v="No"/>
    <s v="Travel_Rarely"/>
    <n v="937"/>
    <s v="Sales"/>
    <n v="1"/>
    <n v="3"/>
    <s v="Marketing"/>
    <n v="1"/>
    <n v="1950"/>
    <n v="1"/>
    <s v="Male"/>
    <n v="32"/>
    <n v="3"/>
    <n v="3"/>
    <x v="0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m/>
    <m/>
    <m/>
    <m/>
  </r>
  <r>
    <n v="34"/>
    <s v="No"/>
    <s v="Travel_Rarely"/>
    <n v="1239"/>
    <s v="Sales"/>
    <n v="13"/>
    <n v="4"/>
    <s v="Medical"/>
    <n v="1"/>
    <n v="1951"/>
    <n v="4"/>
    <s v="Male"/>
    <n v="39"/>
    <n v="3"/>
    <n v="3"/>
    <x v="0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m/>
    <m/>
    <m/>
    <m/>
  </r>
  <r>
    <n v="26"/>
    <s v="No"/>
    <s v="Travel_Rarely"/>
    <n v="157"/>
    <s v="Research &amp; Development"/>
    <n v="1"/>
    <n v="3"/>
    <s v="Medical"/>
    <n v="1"/>
    <n v="1952"/>
    <n v="3"/>
    <s v="Male"/>
    <n v="95"/>
    <n v="3"/>
    <n v="1"/>
    <x v="2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m/>
    <m/>
    <m/>
    <m/>
  </r>
  <r>
    <n v="29"/>
    <s v="No"/>
    <s v="Travel_Rarely"/>
    <n v="136"/>
    <s v="Research &amp; Development"/>
    <n v="1"/>
    <n v="3"/>
    <s v="Life Sciences"/>
    <n v="1"/>
    <n v="1954"/>
    <n v="1"/>
    <s v="Male"/>
    <n v="89"/>
    <n v="3"/>
    <n v="2"/>
    <x v="4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m/>
    <m/>
    <m/>
    <m/>
  </r>
  <r>
    <n v="32"/>
    <s v="No"/>
    <s v="Non-Travel"/>
    <n v="1146"/>
    <s v="Research &amp; Development"/>
    <n v="15"/>
    <n v="4"/>
    <s v="Medical"/>
    <n v="1"/>
    <n v="1955"/>
    <n v="3"/>
    <s v="Female"/>
    <n v="34"/>
    <n v="3"/>
    <n v="2"/>
    <x v="4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m/>
    <m/>
    <m/>
    <m/>
  </r>
  <r>
    <n v="31"/>
    <s v="No"/>
    <s v="Travel_Frequently"/>
    <n v="1125"/>
    <s v="Research &amp; Development"/>
    <n v="1"/>
    <n v="3"/>
    <s v="Life Sciences"/>
    <n v="1"/>
    <n v="1956"/>
    <n v="4"/>
    <s v="Male"/>
    <n v="48"/>
    <n v="1"/>
    <n v="2"/>
    <x v="1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m/>
    <m/>
    <m/>
    <m/>
  </r>
  <r>
    <n v="28"/>
    <s v="Yes"/>
    <s v="Travel_Rarely"/>
    <n v="1404"/>
    <s v="Research &amp; Development"/>
    <n v="17"/>
    <n v="3"/>
    <s v="Technical Degree"/>
    <n v="1"/>
    <n v="1960"/>
    <n v="3"/>
    <s v="Male"/>
    <n v="32"/>
    <n v="2"/>
    <n v="1"/>
    <x v="2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m/>
    <m/>
    <m/>
    <m/>
  </r>
  <r>
    <n v="38"/>
    <s v="No"/>
    <s v="Travel_Rarely"/>
    <n v="1404"/>
    <s v="Sales"/>
    <n v="1"/>
    <n v="3"/>
    <s v="Life Sciences"/>
    <n v="1"/>
    <n v="1961"/>
    <n v="1"/>
    <s v="Male"/>
    <n v="59"/>
    <n v="2"/>
    <n v="1"/>
    <x v="6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m/>
    <m/>
    <m/>
    <m/>
  </r>
  <r>
    <n v="35"/>
    <s v="No"/>
    <s v="Travel_Rarely"/>
    <n v="1224"/>
    <s v="Sales"/>
    <n v="7"/>
    <n v="4"/>
    <s v="Life Sciences"/>
    <n v="1"/>
    <n v="1962"/>
    <n v="3"/>
    <s v="Female"/>
    <n v="55"/>
    <n v="3"/>
    <n v="2"/>
    <x v="0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m/>
    <m/>
    <m/>
    <m/>
  </r>
  <r>
    <n v="27"/>
    <s v="No"/>
    <s v="Travel_Rarely"/>
    <n v="954"/>
    <s v="Sales"/>
    <n v="9"/>
    <n v="3"/>
    <s v="Marketing"/>
    <n v="1"/>
    <n v="1965"/>
    <n v="4"/>
    <s v="Male"/>
    <n v="44"/>
    <n v="3"/>
    <n v="2"/>
    <x v="0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m/>
    <m/>
    <m/>
    <m/>
  </r>
  <r>
    <n v="32"/>
    <s v="No"/>
    <s v="Travel_Rarely"/>
    <n v="1373"/>
    <s v="Research &amp; Development"/>
    <n v="5"/>
    <n v="4"/>
    <s v="Life Sciences"/>
    <n v="1"/>
    <n v="1966"/>
    <n v="4"/>
    <s v="Male"/>
    <n v="56"/>
    <n v="2"/>
    <n v="2"/>
    <x v="3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m/>
    <m/>
    <m/>
    <m/>
  </r>
  <r>
    <n v="31"/>
    <s v="Yes"/>
    <s v="Travel_Frequently"/>
    <n v="754"/>
    <s v="Sales"/>
    <n v="26"/>
    <n v="4"/>
    <s v="Marketing"/>
    <n v="1"/>
    <n v="1967"/>
    <n v="1"/>
    <s v="Male"/>
    <n v="63"/>
    <n v="3"/>
    <n v="2"/>
    <x v="0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m/>
    <m/>
    <m/>
    <m/>
  </r>
  <r>
    <n v="53"/>
    <s v="Yes"/>
    <s v="Travel_Rarely"/>
    <n v="1168"/>
    <s v="Sales"/>
    <n v="24"/>
    <n v="4"/>
    <s v="Life Sciences"/>
    <n v="1"/>
    <n v="1968"/>
    <n v="1"/>
    <s v="Male"/>
    <n v="66"/>
    <n v="3"/>
    <n v="3"/>
    <x v="0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m/>
    <m/>
    <m/>
    <m/>
  </r>
  <r>
    <n v="54"/>
    <s v="No"/>
    <s v="Travel_Rarely"/>
    <n v="155"/>
    <s v="Research &amp; Development"/>
    <n v="9"/>
    <n v="2"/>
    <s v="Life Sciences"/>
    <n v="1"/>
    <n v="1969"/>
    <n v="1"/>
    <s v="Female"/>
    <n v="67"/>
    <n v="3"/>
    <n v="2"/>
    <x v="1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m/>
    <m/>
    <m/>
    <m/>
  </r>
  <r>
    <n v="33"/>
    <s v="No"/>
    <s v="Travel_Frequently"/>
    <n v="1303"/>
    <s v="Research &amp; Development"/>
    <n v="7"/>
    <n v="2"/>
    <s v="Life Sciences"/>
    <n v="1"/>
    <n v="1970"/>
    <n v="4"/>
    <s v="Male"/>
    <n v="36"/>
    <n v="3"/>
    <n v="2"/>
    <x v="4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m/>
    <m/>
    <m/>
    <m/>
  </r>
  <r>
    <n v="43"/>
    <s v="No"/>
    <s v="Travel_Rarely"/>
    <n v="574"/>
    <s v="Research &amp; Development"/>
    <n v="11"/>
    <n v="3"/>
    <s v="Life Sciences"/>
    <n v="1"/>
    <n v="1971"/>
    <n v="1"/>
    <s v="Male"/>
    <n v="30"/>
    <n v="3"/>
    <n v="3"/>
    <x v="4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m/>
    <m/>
    <m/>
    <m/>
  </r>
  <r>
    <n v="38"/>
    <s v="No"/>
    <s v="Travel_Frequently"/>
    <n v="1444"/>
    <s v="Human Resources"/>
    <n v="1"/>
    <n v="4"/>
    <s v="Other"/>
    <n v="1"/>
    <n v="1972"/>
    <n v="4"/>
    <s v="Male"/>
    <n v="88"/>
    <n v="3"/>
    <n v="1"/>
    <x v="8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m/>
    <m/>
    <m/>
    <m/>
  </r>
  <r>
    <n v="55"/>
    <s v="No"/>
    <s v="Travel_Rarely"/>
    <n v="189"/>
    <s v="Human Resources"/>
    <n v="26"/>
    <n v="4"/>
    <s v="Human Resources"/>
    <n v="1"/>
    <n v="1973"/>
    <n v="3"/>
    <s v="Male"/>
    <n v="71"/>
    <n v="4"/>
    <n v="5"/>
    <x v="5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m/>
    <m/>
    <m/>
    <m/>
  </r>
  <r>
    <n v="31"/>
    <s v="No"/>
    <s v="Travel_Rarely"/>
    <n v="1276"/>
    <s v="Research &amp; Development"/>
    <n v="2"/>
    <n v="1"/>
    <s v="Medical"/>
    <n v="1"/>
    <n v="1974"/>
    <n v="4"/>
    <s v="Female"/>
    <n v="59"/>
    <n v="1"/>
    <n v="1"/>
    <x v="2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m/>
    <m/>
    <m/>
    <m/>
  </r>
  <r>
    <n v="39"/>
    <s v="No"/>
    <s v="Travel_Rarely"/>
    <n v="119"/>
    <s v="Sales"/>
    <n v="15"/>
    <n v="4"/>
    <s v="Marketing"/>
    <n v="1"/>
    <n v="1975"/>
    <n v="2"/>
    <s v="Male"/>
    <n v="77"/>
    <n v="3"/>
    <n v="4"/>
    <x v="0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m/>
    <m/>
    <m/>
    <m/>
  </r>
  <r>
    <n v="42"/>
    <s v="No"/>
    <s v="Non-Travel"/>
    <n v="335"/>
    <s v="Research &amp; Development"/>
    <n v="23"/>
    <n v="2"/>
    <s v="Life Sciences"/>
    <n v="1"/>
    <n v="1976"/>
    <n v="4"/>
    <s v="Male"/>
    <n v="37"/>
    <n v="2"/>
    <n v="2"/>
    <x v="1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m/>
    <m/>
    <m/>
    <m/>
  </r>
  <r>
    <n v="31"/>
    <s v="No"/>
    <s v="Non-Travel"/>
    <n v="697"/>
    <s v="Research &amp; Development"/>
    <n v="10"/>
    <n v="3"/>
    <s v="Medical"/>
    <n v="1"/>
    <n v="1979"/>
    <n v="3"/>
    <s v="Female"/>
    <n v="40"/>
    <n v="3"/>
    <n v="3"/>
    <x v="7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m/>
    <m/>
    <m/>
    <m/>
  </r>
  <r>
    <n v="54"/>
    <s v="No"/>
    <s v="Travel_Rarely"/>
    <n v="157"/>
    <s v="Research &amp; Development"/>
    <n v="10"/>
    <n v="3"/>
    <s v="Medical"/>
    <n v="1"/>
    <n v="1980"/>
    <n v="3"/>
    <s v="Female"/>
    <n v="77"/>
    <n v="3"/>
    <n v="2"/>
    <x v="3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m/>
    <m/>
    <m/>
    <m/>
  </r>
  <r>
    <n v="24"/>
    <s v="No"/>
    <s v="Travel_Rarely"/>
    <n v="771"/>
    <s v="Research &amp; Development"/>
    <n v="1"/>
    <n v="2"/>
    <s v="Life Sciences"/>
    <n v="1"/>
    <n v="1981"/>
    <n v="2"/>
    <s v="Male"/>
    <n v="45"/>
    <n v="2"/>
    <n v="2"/>
    <x v="4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m/>
    <m/>
    <m/>
    <m/>
  </r>
  <r>
    <n v="23"/>
    <s v="No"/>
    <s v="Travel_Rarely"/>
    <n v="571"/>
    <s v="Research &amp; Development"/>
    <n v="12"/>
    <n v="2"/>
    <s v="Other"/>
    <n v="1"/>
    <n v="1982"/>
    <n v="4"/>
    <s v="Male"/>
    <n v="78"/>
    <n v="3"/>
    <n v="1"/>
    <x v="2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m/>
    <m/>
    <m/>
    <m/>
  </r>
  <r>
    <n v="40"/>
    <s v="No"/>
    <s v="Travel_Frequently"/>
    <n v="692"/>
    <s v="Research &amp; Development"/>
    <n v="11"/>
    <n v="3"/>
    <s v="Technical Degree"/>
    <n v="1"/>
    <n v="1985"/>
    <n v="4"/>
    <s v="Female"/>
    <n v="73"/>
    <n v="3"/>
    <n v="2"/>
    <x v="2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m/>
    <m/>
    <m/>
    <m/>
  </r>
  <r>
    <n v="40"/>
    <s v="No"/>
    <s v="Travel_Rarely"/>
    <n v="444"/>
    <s v="Sales"/>
    <n v="2"/>
    <n v="2"/>
    <s v="Marketing"/>
    <n v="1"/>
    <n v="1986"/>
    <n v="2"/>
    <s v="Female"/>
    <n v="92"/>
    <n v="3"/>
    <n v="2"/>
    <x v="0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m/>
    <m/>
    <m/>
    <m/>
  </r>
  <r>
    <n v="25"/>
    <s v="No"/>
    <s v="Travel_Rarely"/>
    <n v="309"/>
    <s v="Human Resources"/>
    <n v="2"/>
    <n v="3"/>
    <s v="Human Resources"/>
    <n v="1"/>
    <n v="1987"/>
    <n v="3"/>
    <s v="Female"/>
    <n v="82"/>
    <n v="3"/>
    <n v="1"/>
    <x v="8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m/>
    <m/>
    <m/>
    <m/>
  </r>
  <r>
    <n v="30"/>
    <s v="No"/>
    <s v="Travel_Rarely"/>
    <n v="911"/>
    <s v="Research &amp; Development"/>
    <n v="1"/>
    <n v="2"/>
    <s v="Medical"/>
    <n v="1"/>
    <n v="1989"/>
    <n v="4"/>
    <s v="Male"/>
    <n v="76"/>
    <n v="3"/>
    <n v="1"/>
    <x v="2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m/>
    <m/>
    <m/>
    <m/>
  </r>
  <r>
    <n v="25"/>
    <s v="No"/>
    <s v="Travel_Rarely"/>
    <n v="977"/>
    <s v="Research &amp; Development"/>
    <n v="2"/>
    <n v="1"/>
    <s v="Other"/>
    <n v="1"/>
    <n v="1992"/>
    <n v="4"/>
    <s v="Male"/>
    <n v="57"/>
    <n v="3"/>
    <n v="1"/>
    <x v="2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m/>
    <m/>
    <m/>
    <m/>
  </r>
  <r>
    <n v="47"/>
    <s v="No"/>
    <s v="Travel_Rarely"/>
    <n v="1180"/>
    <s v="Research &amp; Development"/>
    <n v="25"/>
    <n v="3"/>
    <s v="Medical"/>
    <n v="1"/>
    <n v="1993"/>
    <n v="1"/>
    <s v="Male"/>
    <n v="84"/>
    <n v="3"/>
    <n v="3"/>
    <x v="4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m/>
    <m/>
    <m/>
    <m/>
  </r>
  <r>
    <n v="33"/>
    <s v="No"/>
    <s v="Non-Travel"/>
    <n v="1313"/>
    <s v="Research &amp; Development"/>
    <n v="1"/>
    <n v="2"/>
    <s v="Medical"/>
    <n v="1"/>
    <n v="1994"/>
    <n v="2"/>
    <s v="Male"/>
    <n v="59"/>
    <n v="2"/>
    <n v="1"/>
    <x v="2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m/>
    <m/>
    <m/>
    <m/>
  </r>
  <r>
    <n v="38"/>
    <s v="No"/>
    <s v="Travel_Rarely"/>
    <n v="1321"/>
    <s v="Sales"/>
    <n v="1"/>
    <n v="4"/>
    <s v="Life Sciences"/>
    <n v="1"/>
    <n v="1995"/>
    <n v="4"/>
    <s v="Male"/>
    <n v="86"/>
    <n v="3"/>
    <n v="2"/>
    <x v="0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m/>
    <m/>
    <m/>
    <m/>
  </r>
  <r>
    <n v="31"/>
    <s v="No"/>
    <s v="Travel_Rarely"/>
    <n v="1154"/>
    <s v="Sales"/>
    <n v="2"/>
    <n v="2"/>
    <s v="Life Sciences"/>
    <n v="1"/>
    <n v="1996"/>
    <n v="1"/>
    <s v="Male"/>
    <n v="54"/>
    <n v="3"/>
    <n v="1"/>
    <x v="6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m/>
    <m/>
    <m/>
    <m/>
  </r>
  <r>
    <n v="38"/>
    <s v="No"/>
    <s v="Travel_Frequently"/>
    <n v="508"/>
    <s v="Research &amp; Development"/>
    <n v="6"/>
    <n v="4"/>
    <s v="Life Sciences"/>
    <n v="1"/>
    <n v="1997"/>
    <n v="1"/>
    <s v="Male"/>
    <n v="72"/>
    <n v="2"/>
    <n v="2"/>
    <x v="3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m/>
    <m/>
    <m/>
    <m/>
  </r>
  <r>
    <n v="42"/>
    <s v="No"/>
    <s v="Travel_Rarely"/>
    <n v="557"/>
    <s v="Research &amp; Development"/>
    <n v="18"/>
    <n v="4"/>
    <s v="Life Sciences"/>
    <n v="1"/>
    <n v="1998"/>
    <n v="4"/>
    <s v="Male"/>
    <n v="35"/>
    <n v="3"/>
    <n v="2"/>
    <x v="1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m/>
    <m/>
    <m/>
    <m/>
  </r>
  <r>
    <n v="41"/>
    <s v="No"/>
    <s v="Travel_Rarely"/>
    <n v="642"/>
    <s v="Research &amp; Development"/>
    <n v="1"/>
    <n v="3"/>
    <s v="Life Sciences"/>
    <n v="1"/>
    <n v="1999"/>
    <n v="4"/>
    <s v="Male"/>
    <n v="76"/>
    <n v="3"/>
    <n v="1"/>
    <x v="1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m/>
    <m/>
    <m/>
    <m/>
  </r>
  <r>
    <n v="47"/>
    <s v="No"/>
    <s v="Non-Travel"/>
    <n v="1162"/>
    <s v="Research &amp; Development"/>
    <n v="1"/>
    <n v="1"/>
    <s v="Medical"/>
    <n v="1"/>
    <n v="2000"/>
    <n v="3"/>
    <s v="Female"/>
    <n v="98"/>
    <n v="3"/>
    <n v="3"/>
    <x v="7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m/>
    <m/>
    <m/>
    <m/>
  </r>
  <r>
    <n v="35"/>
    <s v="No"/>
    <s v="Travel_Rarely"/>
    <n v="1490"/>
    <s v="Research &amp; Development"/>
    <n v="11"/>
    <n v="4"/>
    <s v="Medical"/>
    <n v="1"/>
    <n v="2003"/>
    <n v="4"/>
    <s v="Male"/>
    <n v="43"/>
    <n v="3"/>
    <n v="1"/>
    <x v="2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m/>
    <m/>
    <m/>
    <m/>
  </r>
  <r>
    <n v="22"/>
    <s v="No"/>
    <s v="Travel_Rarely"/>
    <n v="581"/>
    <s v="Research &amp; Development"/>
    <n v="1"/>
    <n v="2"/>
    <s v="Life Sciences"/>
    <n v="1"/>
    <n v="2007"/>
    <n v="4"/>
    <s v="Male"/>
    <n v="63"/>
    <n v="3"/>
    <n v="1"/>
    <x v="1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m/>
    <m/>
    <m/>
    <m/>
  </r>
  <r>
    <n v="35"/>
    <s v="No"/>
    <s v="Travel_Rarely"/>
    <n v="1395"/>
    <s v="Research &amp; Development"/>
    <n v="9"/>
    <n v="4"/>
    <s v="Medical"/>
    <n v="1"/>
    <n v="2008"/>
    <n v="2"/>
    <s v="Male"/>
    <n v="48"/>
    <n v="3"/>
    <n v="2"/>
    <x v="1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m/>
    <m/>
    <m/>
    <m/>
  </r>
  <r>
    <n v="33"/>
    <s v="No"/>
    <s v="Travel_Rarely"/>
    <n v="501"/>
    <s v="Research &amp; Development"/>
    <n v="15"/>
    <n v="2"/>
    <s v="Medical"/>
    <n v="1"/>
    <n v="2009"/>
    <n v="2"/>
    <s v="Female"/>
    <n v="95"/>
    <n v="3"/>
    <n v="2"/>
    <x v="4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m/>
    <m/>
    <m/>
    <m/>
  </r>
  <r>
    <n v="32"/>
    <s v="No"/>
    <s v="Travel_Rarely"/>
    <n v="267"/>
    <s v="Research &amp; Development"/>
    <n v="29"/>
    <n v="4"/>
    <s v="Life Sciences"/>
    <n v="1"/>
    <n v="2010"/>
    <n v="3"/>
    <s v="Female"/>
    <n v="49"/>
    <n v="2"/>
    <n v="1"/>
    <x v="2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m/>
    <m/>
    <m/>
    <m/>
  </r>
  <r>
    <n v="40"/>
    <s v="No"/>
    <s v="Travel_Rarely"/>
    <n v="543"/>
    <s v="Research &amp; Development"/>
    <n v="1"/>
    <n v="4"/>
    <s v="Life Sciences"/>
    <n v="1"/>
    <n v="2012"/>
    <n v="1"/>
    <s v="Male"/>
    <n v="83"/>
    <n v="3"/>
    <n v="1"/>
    <x v="2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m/>
    <m/>
    <m/>
    <m/>
  </r>
  <r>
    <n v="32"/>
    <s v="No"/>
    <s v="Travel_Rarely"/>
    <n v="234"/>
    <s v="Sales"/>
    <n v="1"/>
    <n v="4"/>
    <s v="Medical"/>
    <n v="1"/>
    <n v="2013"/>
    <n v="2"/>
    <s v="Male"/>
    <n v="68"/>
    <n v="2"/>
    <n v="1"/>
    <x v="6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m/>
    <m/>
    <m/>
    <m/>
  </r>
  <r>
    <n v="39"/>
    <s v="No"/>
    <s v="Travel_Rarely"/>
    <n v="116"/>
    <s v="Research &amp; Development"/>
    <n v="24"/>
    <n v="1"/>
    <s v="Life Sciences"/>
    <n v="1"/>
    <n v="2014"/>
    <n v="1"/>
    <s v="Male"/>
    <n v="52"/>
    <n v="3"/>
    <n v="2"/>
    <x v="1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m/>
    <m/>
    <m/>
    <m/>
  </r>
  <r>
    <n v="38"/>
    <s v="No"/>
    <s v="Travel_Rarely"/>
    <n v="201"/>
    <s v="Research &amp; Development"/>
    <n v="10"/>
    <n v="3"/>
    <s v="Medical"/>
    <n v="1"/>
    <n v="2015"/>
    <n v="2"/>
    <s v="Female"/>
    <n v="99"/>
    <n v="1"/>
    <n v="3"/>
    <x v="7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m/>
    <m/>
    <m/>
    <m/>
  </r>
  <r>
    <n v="32"/>
    <s v="No"/>
    <s v="Travel_Rarely"/>
    <n v="801"/>
    <s v="Sales"/>
    <n v="1"/>
    <n v="4"/>
    <s v="Marketing"/>
    <n v="1"/>
    <n v="2016"/>
    <n v="3"/>
    <s v="Female"/>
    <n v="48"/>
    <n v="3"/>
    <n v="3"/>
    <x v="0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m/>
    <m/>
    <m/>
    <m/>
  </r>
  <r>
    <n v="37"/>
    <s v="No"/>
    <s v="Travel_Rarely"/>
    <n v="161"/>
    <s v="Research &amp; Development"/>
    <n v="10"/>
    <n v="3"/>
    <s v="Life Sciences"/>
    <n v="1"/>
    <n v="2017"/>
    <n v="3"/>
    <s v="Female"/>
    <n v="42"/>
    <n v="4"/>
    <n v="3"/>
    <x v="7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m/>
    <m/>
    <m/>
    <m/>
  </r>
  <r>
    <n v="25"/>
    <s v="No"/>
    <s v="Travel_Rarely"/>
    <n v="1382"/>
    <s v="Sales"/>
    <n v="8"/>
    <n v="2"/>
    <s v="Other"/>
    <n v="1"/>
    <n v="2018"/>
    <n v="1"/>
    <s v="Female"/>
    <n v="85"/>
    <n v="3"/>
    <n v="2"/>
    <x v="0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m/>
    <m/>
    <m/>
    <m/>
  </r>
  <r>
    <n v="52"/>
    <s v="No"/>
    <s v="Non-Travel"/>
    <n v="585"/>
    <s v="Sales"/>
    <n v="29"/>
    <n v="4"/>
    <s v="Life Sciences"/>
    <n v="1"/>
    <n v="2019"/>
    <n v="1"/>
    <s v="Male"/>
    <n v="40"/>
    <n v="3"/>
    <n v="1"/>
    <x v="6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m/>
    <m/>
    <m/>
    <m/>
  </r>
  <r>
    <n v="44"/>
    <s v="No"/>
    <s v="Travel_Rarely"/>
    <n v="1037"/>
    <s v="Research &amp; Development"/>
    <n v="1"/>
    <n v="3"/>
    <s v="Medical"/>
    <n v="1"/>
    <n v="2020"/>
    <n v="2"/>
    <s v="Male"/>
    <n v="42"/>
    <n v="3"/>
    <n v="1"/>
    <x v="1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m/>
    <m/>
    <m/>
    <m/>
  </r>
  <r>
    <n v="21"/>
    <s v="No"/>
    <s v="Travel_Rarely"/>
    <n v="501"/>
    <s v="Sales"/>
    <n v="5"/>
    <n v="1"/>
    <s v="Medical"/>
    <n v="1"/>
    <n v="2021"/>
    <n v="3"/>
    <s v="Male"/>
    <n v="58"/>
    <n v="3"/>
    <n v="1"/>
    <x v="6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m/>
    <m/>
    <m/>
    <m/>
  </r>
  <r>
    <n v="39"/>
    <s v="No"/>
    <s v="Non-Travel"/>
    <n v="105"/>
    <s v="Research &amp; Development"/>
    <n v="9"/>
    <n v="3"/>
    <s v="Life Sciences"/>
    <n v="1"/>
    <n v="2022"/>
    <n v="4"/>
    <s v="Male"/>
    <n v="87"/>
    <n v="3"/>
    <n v="5"/>
    <x v="5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m/>
    <m/>
    <m/>
    <m/>
  </r>
  <r>
    <n v="23"/>
    <s v="Yes"/>
    <s v="Travel_Frequently"/>
    <n v="638"/>
    <s v="Sales"/>
    <n v="9"/>
    <n v="3"/>
    <s v="Marketing"/>
    <n v="1"/>
    <n v="2023"/>
    <n v="4"/>
    <s v="Male"/>
    <n v="33"/>
    <n v="3"/>
    <n v="1"/>
    <x v="6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m/>
    <m/>
    <m/>
    <m/>
  </r>
  <r>
    <n v="36"/>
    <s v="No"/>
    <s v="Travel_Rarely"/>
    <n v="557"/>
    <s v="Sales"/>
    <n v="3"/>
    <n v="3"/>
    <s v="Medical"/>
    <n v="1"/>
    <n v="2024"/>
    <n v="1"/>
    <s v="Female"/>
    <n v="94"/>
    <n v="2"/>
    <n v="3"/>
    <x v="0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m/>
    <m/>
    <m/>
    <m/>
  </r>
  <r>
    <n v="36"/>
    <s v="No"/>
    <s v="Travel_Frequently"/>
    <n v="688"/>
    <s v="Research &amp; Development"/>
    <n v="4"/>
    <n v="2"/>
    <s v="Life Sciences"/>
    <n v="1"/>
    <n v="2025"/>
    <n v="4"/>
    <s v="Female"/>
    <n v="97"/>
    <n v="3"/>
    <n v="2"/>
    <x v="3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m/>
    <m/>
    <m/>
    <m/>
  </r>
  <r>
    <n v="56"/>
    <s v="No"/>
    <s v="Non-Travel"/>
    <n v="667"/>
    <s v="Research &amp; Development"/>
    <n v="1"/>
    <n v="4"/>
    <s v="Life Sciences"/>
    <n v="1"/>
    <n v="2026"/>
    <n v="3"/>
    <s v="Male"/>
    <n v="57"/>
    <n v="3"/>
    <n v="2"/>
    <x v="4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m/>
    <m/>
    <m/>
    <m/>
  </r>
  <r>
    <n v="29"/>
    <s v="Yes"/>
    <s v="Travel_Rarely"/>
    <n v="1092"/>
    <s v="Research &amp; Development"/>
    <n v="1"/>
    <n v="4"/>
    <s v="Medical"/>
    <n v="1"/>
    <n v="2027"/>
    <n v="1"/>
    <s v="Male"/>
    <n v="36"/>
    <n v="3"/>
    <n v="1"/>
    <x v="1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m/>
    <m/>
    <m/>
    <m/>
  </r>
  <r>
    <n v="42"/>
    <s v="No"/>
    <s v="Travel_Rarely"/>
    <n v="300"/>
    <s v="Research &amp; Development"/>
    <n v="2"/>
    <n v="3"/>
    <s v="Life Sciences"/>
    <n v="1"/>
    <n v="2031"/>
    <n v="1"/>
    <s v="Male"/>
    <n v="56"/>
    <n v="3"/>
    <n v="5"/>
    <x v="5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m/>
    <m/>
    <m/>
    <m/>
  </r>
  <r>
    <n v="56"/>
    <s v="Yes"/>
    <s v="Travel_Rarely"/>
    <n v="310"/>
    <s v="Research &amp; Development"/>
    <n v="7"/>
    <n v="2"/>
    <s v="Technical Degree"/>
    <n v="1"/>
    <n v="2032"/>
    <n v="4"/>
    <s v="Male"/>
    <n v="72"/>
    <n v="3"/>
    <n v="1"/>
    <x v="2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m/>
    <m/>
    <m/>
    <m/>
  </r>
  <r>
    <n v="41"/>
    <s v="No"/>
    <s v="Travel_Rarely"/>
    <n v="582"/>
    <s v="Research &amp; Development"/>
    <n v="28"/>
    <n v="4"/>
    <s v="Life Sciences"/>
    <n v="1"/>
    <n v="2034"/>
    <n v="1"/>
    <s v="Female"/>
    <n v="60"/>
    <n v="2"/>
    <n v="4"/>
    <x v="3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m/>
    <m/>
    <m/>
    <m/>
  </r>
  <r>
    <n v="34"/>
    <s v="No"/>
    <s v="Travel_Rarely"/>
    <n v="704"/>
    <s v="Sales"/>
    <n v="28"/>
    <n v="3"/>
    <s v="Marketing"/>
    <n v="1"/>
    <n v="2035"/>
    <n v="4"/>
    <s v="Female"/>
    <n v="95"/>
    <n v="2"/>
    <n v="2"/>
    <x v="0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m/>
    <m/>
    <m/>
    <m/>
  </r>
  <r>
    <n v="36"/>
    <s v="No"/>
    <s v="Non-Travel"/>
    <n v="301"/>
    <s v="Sales"/>
    <n v="15"/>
    <n v="4"/>
    <s v="Marketing"/>
    <n v="1"/>
    <n v="2036"/>
    <n v="4"/>
    <s v="Male"/>
    <n v="88"/>
    <n v="1"/>
    <n v="2"/>
    <x v="0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m/>
    <m/>
    <m/>
    <m/>
  </r>
  <r>
    <n v="41"/>
    <s v="No"/>
    <s v="Travel_Rarely"/>
    <n v="930"/>
    <s v="Sales"/>
    <n v="3"/>
    <n v="3"/>
    <s v="Life Sciences"/>
    <n v="1"/>
    <n v="2037"/>
    <n v="3"/>
    <s v="Male"/>
    <n v="57"/>
    <n v="2"/>
    <n v="2"/>
    <x v="0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m/>
    <m/>
    <m/>
    <m/>
  </r>
  <r>
    <n v="32"/>
    <s v="No"/>
    <s v="Travel_Rarely"/>
    <n v="529"/>
    <s v="Research &amp; Development"/>
    <n v="2"/>
    <n v="3"/>
    <s v="Technical Degree"/>
    <n v="1"/>
    <n v="2038"/>
    <n v="4"/>
    <s v="Male"/>
    <n v="78"/>
    <n v="3"/>
    <n v="1"/>
    <x v="1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m/>
    <m/>
    <m/>
    <m/>
  </r>
  <r>
    <n v="35"/>
    <s v="No"/>
    <s v="Travel_Rarely"/>
    <n v="1146"/>
    <s v="Human Resources"/>
    <n v="26"/>
    <n v="4"/>
    <s v="Life Sciences"/>
    <n v="1"/>
    <n v="2040"/>
    <n v="3"/>
    <s v="Female"/>
    <n v="31"/>
    <n v="3"/>
    <n v="3"/>
    <x v="8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m/>
    <m/>
    <m/>
    <m/>
  </r>
  <r>
    <n v="38"/>
    <s v="No"/>
    <s v="Travel_Rarely"/>
    <n v="345"/>
    <s v="Sales"/>
    <n v="10"/>
    <n v="2"/>
    <s v="Life Sciences"/>
    <n v="1"/>
    <n v="2041"/>
    <n v="1"/>
    <s v="Female"/>
    <n v="100"/>
    <n v="3"/>
    <n v="2"/>
    <x v="0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m/>
    <m/>
    <m/>
    <m/>
  </r>
  <r>
    <n v="50"/>
    <s v="Yes"/>
    <s v="Travel_Frequently"/>
    <n v="878"/>
    <s v="Sales"/>
    <n v="1"/>
    <n v="4"/>
    <s v="Life Sciences"/>
    <n v="1"/>
    <n v="2044"/>
    <n v="2"/>
    <s v="Male"/>
    <n v="94"/>
    <n v="3"/>
    <n v="2"/>
    <x v="0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m/>
    <m/>
    <m/>
    <m/>
  </r>
  <r>
    <n v="36"/>
    <s v="No"/>
    <s v="Travel_Rarely"/>
    <n v="1120"/>
    <s v="Sales"/>
    <n v="11"/>
    <n v="4"/>
    <s v="Marketing"/>
    <n v="1"/>
    <n v="2045"/>
    <n v="2"/>
    <s v="Female"/>
    <n v="100"/>
    <n v="2"/>
    <n v="2"/>
    <x v="0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m/>
    <m/>
    <m/>
    <m/>
  </r>
  <r>
    <n v="45"/>
    <s v="No"/>
    <s v="Travel_Rarely"/>
    <n v="374"/>
    <s v="Sales"/>
    <n v="20"/>
    <n v="3"/>
    <s v="Life Sciences"/>
    <n v="1"/>
    <n v="2046"/>
    <n v="4"/>
    <s v="Female"/>
    <n v="50"/>
    <n v="3"/>
    <n v="2"/>
    <x v="0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m/>
    <m/>
    <m/>
    <m/>
  </r>
  <r>
    <n v="40"/>
    <s v="No"/>
    <s v="Travel_Rarely"/>
    <n v="1322"/>
    <s v="Research &amp; Development"/>
    <n v="2"/>
    <n v="4"/>
    <s v="Life Sciences"/>
    <n v="1"/>
    <n v="2048"/>
    <n v="3"/>
    <s v="Male"/>
    <n v="52"/>
    <n v="2"/>
    <n v="1"/>
    <x v="1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m/>
    <m/>
    <m/>
    <m/>
  </r>
  <r>
    <n v="35"/>
    <s v="No"/>
    <s v="Travel_Frequently"/>
    <n v="1199"/>
    <s v="Research &amp; Development"/>
    <n v="18"/>
    <n v="4"/>
    <s v="Life Sciences"/>
    <n v="1"/>
    <n v="2049"/>
    <n v="3"/>
    <s v="Male"/>
    <n v="80"/>
    <n v="3"/>
    <n v="2"/>
    <x v="4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m/>
    <m/>
    <m/>
    <m/>
  </r>
  <r>
    <n v="40"/>
    <s v="No"/>
    <s v="Travel_Rarely"/>
    <n v="1194"/>
    <s v="Research &amp; Development"/>
    <n v="2"/>
    <n v="4"/>
    <s v="Medical"/>
    <n v="1"/>
    <n v="2051"/>
    <n v="3"/>
    <s v="Female"/>
    <n v="98"/>
    <n v="3"/>
    <n v="1"/>
    <x v="1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m/>
    <m/>
    <m/>
    <m/>
  </r>
  <r>
    <n v="35"/>
    <s v="No"/>
    <s v="Travel_Rarely"/>
    <n v="287"/>
    <s v="Research &amp; Development"/>
    <n v="1"/>
    <n v="4"/>
    <s v="Life Sciences"/>
    <n v="1"/>
    <n v="2052"/>
    <n v="3"/>
    <s v="Female"/>
    <n v="62"/>
    <n v="1"/>
    <n v="1"/>
    <x v="1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m/>
    <m/>
    <m/>
    <m/>
  </r>
  <r>
    <n v="29"/>
    <s v="No"/>
    <s v="Travel_Rarely"/>
    <n v="1378"/>
    <s v="Research &amp; Development"/>
    <n v="13"/>
    <n v="2"/>
    <s v="Other"/>
    <n v="1"/>
    <n v="2053"/>
    <n v="4"/>
    <s v="Male"/>
    <n v="46"/>
    <n v="2"/>
    <n v="2"/>
    <x v="2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m/>
    <m/>
    <m/>
    <m/>
  </r>
  <r>
    <n v="29"/>
    <s v="No"/>
    <s v="Travel_Rarely"/>
    <n v="468"/>
    <s v="Research &amp; Development"/>
    <n v="28"/>
    <n v="4"/>
    <s v="Medical"/>
    <n v="1"/>
    <n v="2054"/>
    <n v="4"/>
    <s v="Female"/>
    <n v="73"/>
    <n v="2"/>
    <n v="1"/>
    <x v="1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m/>
    <m/>
    <m/>
    <m/>
  </r>
  <r>
    <n v="50"/>
    <s v="Yes"/>
    <s v="Travel_Rarely"/>
    <n v="410"/>
    <s v="Sales"/>
    <n v="28"/>
    <n v="3"/>
    <s v="Marketing"/>
    <n v="1"/>
    <n v="2055"/>
    <n v="4"/>
    <s v="Male"/>
    <n v="39"/>
    <n v="2"/>
    <n v="3"/>
    <x v="0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m/>
    <m/>
    <m/>
    <m/>
  </r>
  <r>
    <n v="39"/>
    <s v="No"/>
    <s v="Travel_Rarely"/>
    <n v="722"/>
    <s v="Sales"/>
    <n v="24"/>
    <n v="1"/>
    <s v="Marketing"/>
    <n v="1"/>
    <n v="2056"/>
    <n v="2"/>
    <s v="Female"/>
    <n v="60"/>
    <n v="2"/>
    <n v="4"/>
    <x v="0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m/>
    <m/>
    <m/>
    <m/>
  </r>
  <r>
    <n v="31"/>
    <s v="No"/>
    <s v="Non-Travel"/>
    <n v="325"/>
    <s v="Research &amp; Development"/>
    <n v="5"/>
    <n v="3"/>
    <s v="Medical"/>
    <n v="1"/>
    <n v="2057"/>
    <n v="2"/>
    <s v="Male"/>
    <n v="74"/>
    <n v="3"/>
    <n v="2"/>
    <x v="3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m/>
    <m/>
    <m/>
    <m/>
  </r>
  <r>
    <n v="26"/>
    <s v="No"/>
    <s v="Travel_Rarely"/>
    <n v="1167"/>
    <s v="Sales"/>
    <n v="5"/>
    <n v="3"/>
    <s v="Other"/>
    <n v="1"/>
    <n v="2060"/>
    <n v="4"/>
    <s v="Female"/>
    <n v="30"/>
    <n v="2"/>
    <n v="1"/>
    <x v="6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m/>
    <m/>
    <m/>
    <m/>
  </r>
  <r>
    <n v="36"/>
    <s v="No"/>
    <s v="Travel_Frequently"/>
    <n v="884"/>
    <s v="Research &amp; Development"/>
    <n v="23"/>
    <n v="2"/>
    <s v="Medical"/>
    <n v="1"/>
    <n v="2061"/>
    <n v="3"/>
    <s v="Male"/>
    <n v="41"/>
    <n v="4"/>
    <n v="2"/>
    <x v="2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m/>
    <m/>
    <m/>
    <m/>
  </r>
  <r>
    <n v="39"/>
    <s v="No"/>
    <s v="Travel_Rarely"/>
    <n v="613"/>
    <s v="Research &amp; Development"/>
    <n v="6"/>
    <n v="1"/>
    <s v="Medical"/>
    <n v="1"/>
    <n v="2062"/>
    <n v="4"/>
    <s v="Male"/>
    <n v="42"/>
    <n v="2"/>
    <n v="3"/>
    <x v="4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m/>
    <m/>
    <m/>
    <m/>
  </r>
  <r>
    <n v="27"/>
    <s v="No"/>
    <s v="Travel_Rarely"/>
    <n v="155"/>
    <s v="Research &amp; Development"/>
    <n v="4"/>
    <n v="3"/>
    <s v="Life Sciences"/>
    <n v="1"/>
    <n v="2064"/>
    <n v="2"/>
    <s v="Male"/>
    <n v="87"/>
    <n v="4"/>
    <n v="2"/>
    <x v="3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m/>
    <m/>
    <m/>
    <m/>
  </r>
  <r>
    <n v="49"/>
    <s v="No"/>
    <s v="Travel_Frequently"/>
    <n v="1023"/>
    <s v="Sales"/>
    <n v="2"/>
    <n v="3"/>
    <s v="Medical"/>
    <n v="1"/>
    <n v="2065"/>
    <n v="4"/>
    <s v="Male"/>
    <n v="63"/>
    <n v="2"/>
    <n v="2"/>
    <x v="0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m/>
    <m/>
    <m/>
    <m/>
  </r>
  <r>
    <n v="34"/>
    <s v="No"/>
    <s v="Travel_Rarely"/>
    <n v="628"/>
    <s v="Research &amp; Development"/>
    <n v="8"/>
    <n v="3"/>
    <s v="Medical"/>
    <n v="1"/>
    <n v="2068"/>
    <n v="2"/>
    <s v="Male"/>
    <n v="82"/>
    <n v="4"/>
    <n v="2"/>
    <x v="2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AD8CB9-71C8-429A-BDC9-4B7B1755CF5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8"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F16C4-8F71-4B58-BA24-C8CE043D864B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JobSatisfaction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9FFFA-55A7-4AAC-ACB4-2D154899F3B3}">
  <dimension ref="A3:B7"/>
  <sheetViews>
    <sheetView workbookViewId="0">
      <selection activeCell="A7" sqref="A7"/>
    </sheetView>
  </sheetViews>
  <sheetFormatPr defaultRowHeight="14.4" x14ac:dyDescent="0.3"/>
  <cols>
    <col min="1" max="1" width="21.88671875" bestFit="1" customWidth="1"/>
    <col min="2" max="2" width="15.88671875" bestFit="1" customWidth="1"/>
    <col min="3" max="3" width="16.88671875" bestFit="1" customWidth="1"/>
  </cols>
  <sheetData>
    <row r="3" spans="1:2" x14ac:dyDescent="0.3">
      <c r="A3" s="1" t="s">
        <v>65</v>
      </c>
      <c r="B3" t="s">
        <v>67</v>
      </c>
    </row>
    <row r="4" spans="1:2" x14ac:dyDescent="0.3">
      <c r="A4" s="2" t="s">
        <v>61</v>
      </c>
      <c r="B4" s="3">
        <v>63</v>
      </c>
    </row>
    <row r="5" spans="1:2" x14ac:dyDescent="0.3">
      <c r="A5" s="2" t="s">
        <v>45</v>
      </c>
      <c r="B5" s="3">
        <v>961</v>
      </c>
    </row>
    <row r="6" spans="1:2" x14ac:dyDescent="0.3">
      <c r="A6" s="2" t="s">
        <v>37</v>
      </c>
      <c r="B6" s="3">
        <v>446</v>
      </c>
    </row>
    <row r="7" spans="1:2" x14ac:dyDescent="0.3">
      <c r="A7" s="2" t="s">
        <v>66</v>
      </c>
      <c r="B7" s="3">
        <v>1470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B6649-FCDA-43A2-B40A-8E5CD4A55942}">
  <dimension ref="A3:B13"/>
  <sheetViews>
    <sheetView workbookViewId="0">
      <selection activeCell="D4" sqref="D4"/>
    </sheetView>
  </sheetViews>
  <sheetFormatPr defaultRowHeight="14.4" x14ac:dyDescent="0.3"/>
  <cols>
    <col min="1" max="1" width="22.88671875" bestFit="1" customWidth="1"/>
    <col min="2" max="2" width="20.33203125" bestFit="1" customWidth="1"/>
  </cols>
  <sheetData>
    <row r="3" spans="1:2" x14ac:dyDescent="0.3">
      <c r="A3" s="1" t="s">
        <v>65</v>
      </c>
      <c r="B3" t="s">
        <v>69</v>
      </c>
    </row>
    <row r="4" spans="1:2" x14ac:dyDescent="0.3">
      <c r="A4" s="2" t="s">
        <v>54</v>
      </c>
      <c r="B4" s="3">
        <v>365</v>
      </c>
    </row>
    <row r="5" spans="1:2" x14ac:dyDescent="0.3">
      <c r="A5" s="2" t="s">
        <v>61</v>
      </c>
      <c r="B5" s="3">
        <v>133</v>
      </c>
    </row>
    <row r="6" spans="1:2" x14ac:dyDescent="0.3">
      <c r="A6" s="2" t="s">
        <v>50</v>
      </c>
      <c r="B6" s="3">
        <v>697</v>
      </c>
    </row>
    <row r="7" spans="1:2" x14ac:dyDescent="0.3">
      <c r="A7" s="2" t="s">
        <v>56</v>
      </c>
      <c r="B7" s="3">
        <v>276</v>
      </c>
    </row>
    <row r="8" spans="1:2" x14ac:dyDescent="0.3">
      <c r="A8" s="2" t="s">
        <v>53</v>
      </c>
      <c r="B8" s="3">
        <v>389</v>
      </c>
    </row>
    <row r="9" spans="1:2" x14ac:dyDescent="0.3">
      <c r="A9" s="2" t="s">
        <v>58</v>
      </c>
      <c r="B9" s="3">
        <v>216</v>
      </c>
    </row>
    <row r="10" spans="1:2" x14ac:dyDescent="0.3">
      <c r="A10" s="2" t="s">
        <v>47</v>
      </c>
      <c r="B10" s="3">
        <v>810</v>
      </c>
    </row>
    <row r="11" spans="1:2" x14ac:dyDescent="0.3">
      <c r="A11" s="2" t="s">
        <v>40</v>
      </c>
      <c r="B11" s="3">
        <v>898</v>
      </c>
    </row>
    <row r="12" spans="1:2" x14ac:dyDescent="0.3">
      <c r="A12" s="2" t="s">
        <v>57</v>
      </c>
      <c r="B12" s="3">
        <v>227</v>
      </c>
    </row>
    <row r="13" spans="1:2" x14ac:dyDescent="0.3">
      <c r="A13" s="2" t="s">
        <v>66</v>
      </c>
      <c r="B13" s="3">
        <v>4011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FF2B-AEBB-48FF-B1D5-07F70E9E3799}">
  <sheetPr filterMode="1"/>
  <dimension ref="A1:AO1471"/>
  <sheetViews>
    <sheetView tabSelected="1" workbookViewId="0">
      <selection activeCell="F33" sqref="F33"/>
    </sheetView>
  </sheetViews>
  <sheetFormatPr defaultRowHeight="14.4" x14ac:dyDescent="0.3"/>
  <cols>
    <col min="3" max="3" width="15.6640625" bestFit="1" customWidth="1"/>
    <col min="4" max="4" width="11" bestFit="1" customWidth="1"/>
    <col min="5" max="5" width="21.88671875" bestFit="1" customWidth="1"/>
    <col min="8" max="8" width="15.6640625" bestFit="1" customWidth="1"/>
    <col min="9" max="9" width="14" bestFit="1" customWidth="1"/>
    <col min="10" max="10" width="15.6640625" bestFit="1" customWidth="1"/>
    <col min="16" max="16" width="22.88671875" bestFit="1" customWidth="1"/>
    <col min="17" max="17" width="15.6640625" bestFit="1" customWidth="1"/>
    <col min="19" max="19" width="16.21875" bestFit="1" customWidth="1"/>
    <col min="20" max="20" width="13.77734375" bestFit="1" customWidth="1"/>
    <col min="23" max="23" width="11.109375" bestFit="1" customWidth="1"/>
    <col min="35" max="35" width="20.21875" bestFit="1" customWidth="1"/>
    <col min="36" max="36" width="21.77734375" bestFit="1" customWidth="1"/>
    <col min="37" max="37" width="23.6640625" bestFit="1" customWidth="1"/>
    <col min="38" max="38" width="16" bestFit="1" customWidth="1"/>
    <col min="39" max="39" width="44.109375" bestFit="1" customWidth="1"/>
    <col min="40" max="40" width="45.33203125" bestFit="1" customWidth="1"/>
    <col min="41" max="41" width="8.5546875" bestFit="1" customWidth="1"/>
  </cols>
  <sheetData>
    <row r="1" spans="1:4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62</v>
      </c>
      <c r="AK1" s="7" t="s">
        <v>63</v>
      </c>
      <c r="AL1" s="7" t="s">
        <v>64</v>
      </c>
      <c r="AM1" s="7" t="s">
        <v>68</v>
      </c>
      <c r="AN1" s="7" t="s">
        <v>70</v>
      </c>
      <c r="AO1" s="7" t="s">
        <v>71</v>
      </c>
    </row>
    <row r="2" spans="1:41" x14ac:dyDescent="0.3">
      <c r="A2" s="4">
        <v>41</v>
      </c>
      <c r="B2" s="4" t="s">
        <v>35</v>
      </c>
      <c r="C2" s="4" t="s">
        <v>36</v>
      </c>
      <c r="D2" s="4">
        <v>1102</v>
      </c>
      <c r="E2" s="4" t="s">
        <v>37</v>
      </c>
      <c r="F2" s="4">
        <v>1</v>
      </c>
      <c r="G2" s="4">
        <v>2</v>
      </c>
      <c r="H2" s="4" t="s">
        <v>38</v>
      </c>
      <c r="I2" s="4">
        <v>1</v>
      </c>
      <c r="J2" s="4">
        <v>1</v>
      </c>
      <c r="K2" s="4">
        <v>2</v>
      </c>
      <c r="L2" s="4" t="s">
        <v>39</v>
      </c>
      <c r="M2" s="4">
        <v>94</v>
      </c>
      <c r="N2" s="4">
        <v>3</v>
      </c>
      <c r="O2" s="4">
        <v>2</v>
      </c>
      <c r="P2" s="4" t="s">
        <v>40</v>
      </c>
      <c r="Q2" s="4">
        <v>4</v>
      </c>
      <c r="R2" s="4" t="s">
        <v>41</v>
      </c>
      <c r="S2" s="4">
        <v>5993</v>
      </c>
      <c r="T2" s="4">
        <v>19479</v>
      </c>
      <c r="U2" s="4">
        <v>8</v>
      </c>
      <c r="V2" s="4" t="s">
        <v>42</v>
      </c>
      <c r="W2" s="4" t="s">
        <v>35</v>
      </c>
      <c r="X2" s="4">
        <v>11</v>
      </c>
      <c r="Y2" s="4">
        <v>3</v>
      </c>
      <c r="Z2" s="4">
        <v>1</v>
      </c>
      <c r="AA2" s="4">
        <v>80</v>
      </c>
      <c r="AB2" s="4">
        <v>0</v>
      </c>
      <c r="AC2" s="4">
        <v>8</v>
      </c>
      <c r="AD2" s="4">
        <v>0</v>
      </c>
      <c r="AE2" s="4">
        <v>1</v>
      </c>
      <c r="AF2" s="4">
        <v>6</v>
      </c>
      <c r="AG2" s="4">
        <v>4</v>
      </c>
      <c r="AH2" s="4">
        <v>0</v>
      </c>
      <c r="AI2" s="4">
        <v>5</v>
      </c>
      <c r="AJ2" s="4">
        <f>COUNTA(I2:I1471)</f>
        <v>1470</v>
      </c>
      <c r="AK2" s="4">
        <f>COUNTIF(B2:B1471, "Yes")</f>
        <v>237</v>
      </c>
      <c r="AL2" s="5">
        <f>(COUNTIF(B2:B1471,"Yes")/(COUNTA(I2:I1471))*100)</f>
        <v>16.122448979591837</v>
      </c>
      <c r="AM2" s="4">
        <f>AVERAGE(A2:A1463)</f>
        <v>36.933652530779753</v>
      </c>
      <c r="AN2" s="6">
        <f>AVERAGE(S2:S1463)</f>
        <v>6501.9685362517102</v>
      </c>
      <c r="AO2" s="4">
        <f>COUNTIF(W2:W1463,W2)</f>
        <v>415</v>
      </c>
    </row>
    <row r="3" spans="1:41" hidden="1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41" x14ac:dyDescent="0.3">
      <c r="A4" s="4">
        <v>37</v>
      </c>
      <c r="B4" s="4" t="s">
        <v>35</v>
      </c>
      <c r="C4" s="4" t="s">
        <v>36</v>
      </c>
      <c r="D4" s="4">
        <v>1373</v>
      </c>
      <c r="E4" s="4" t="s">
        <v>45</v>
      </c>
      <c r="F4" s="4">
        <v>2</v>
      </c>
      <c r="G4" s="4">
        <v>2</v>
      </c>
      <c r="H4" s="4" t="s">
        <v>49</v>
      </c>
      <c r="I4" s="4">
        <v>1</v>
      </c>
      <c r="J4" s="4">
        <v>4</v>
      </c>
      <c r="K4" s="4">
        <v>4</v>
      </c>
      <c r="L4" s="4" t="s">
        <v>46</v>
      </c>
      <c r="M4" s="4">
        <v>92</v>
      </c>
      <c r="N4" s="4">
        <v>2</v>
      </c>
      <c r="O4" s="4">
        <v>1</v>
      </c>
      <c r="P4" s="4" t="s">
        <v>50</v>
      </c>
      <c r="Q4" s="4">
        <v>3</v>
      </c>
      <c r="R4" s="4" t="s">
        <v>41</v>
      </c>
      <c r="S4" s="4">
        <v>2090</v>
      </c>
      <c r="T4" s="4">
        <v>2396</v>
      </c>
      <c r="U4" s="4">
        <v>6</v>
      </c>
      <c r="V4" s="4" t="s">
        <v>42</v>
      </c>
      <c r="W4" s="4" t="s">
        <v>35</v>
      </c>
      <c r="X4" s="4">
        <v>15</v>
      </c>
      <c r="Y4" s="4">
        <v>3</v>
      </c>
      <c r="Z4" s="4">
        <v>2</v>
      </c>
      <c r="AA4" s="4">
        <v>80</v>
      </c>
      <c r="AB4" s="4">
        <v>0</v>
      </c>
      <c r="AC4" s="4">
        <v>7</v>
      </c>
      <c r="AD4" s="4">
        <v>3</v>
      </c>
      <c r="AE4" s="4">
        <v>3</v>
      </c>
      <c r="AF4" s="4">
        <v>0</v>
      </c>
      <c r="AG4" s="4">
        <v>0</v>
      </c>
      <c r="AH4" s="4">
        <v>0</v>
      </c>
      <c r="AI4" s="4">
        <v>0</v>
      </c>
      <c r="AJ4" s="4"/>
      <c r="AK4" s="4"/>
      <c r="AL4" s="4"/>
      <c r="AM4" s="4"/>
      <c r="AN4" s="4"/>
      <c r="AO4" s="4"/>
    </row>
    <row r="5" spans="1:41" x14ac:dyDescent="0.3">
      <c r="A5" s="4">
        <v>33</v>
      </c>
      <c r="B5" s="4" t="s">
        <v>43</v>
      </c>
      <c r="C5" s="4" t="s">
        <v>44</v>
      </c>
      <c r="D5" s="4">
        <v>1392</v>
      </c>
      <c r="E5" s="4" t="s">
        <v>45</v>
      </c>
      <c r="F5" s="4">
        <v>3</v>
      </c>
      <c r="G5" s="4">
        <v>4</v>
      </c>
      <c r="H5" s="4" t="s">
        <v>38</v>
      </c>
      <c r="I5" s="4">
        <v>1</v>
      </c>
      <c r="J5" s="4">
        <v>5</v>
      </c>
      <c r="K5" s="4">
        <v>4</v>
      </c>
      <c r="L5" s="4" t="s">
        <v>39</v>
      </c>
      <c r="M5" s="4">
        <v>56</v>
      </c>
      <c r="N5" s="4">
        <v>3</v>
      </c>
      <c r="O5" s="4">
        <v>1</v>
      </c>
      <c r="P5" s="4" t="s">
        <v>47</v>
      </c>
      <c r="Q5" s="4">
        <v>3</v>
      </c>
      <c r="R5" s="4" t="s">
        <v>48</v>
      </c>
      <c r="S5" s="4">
        <v>2909</v>
      </c>
      <c r="T5" s="4">
        <v>23159</v>
      </c>
      <c r="U5" s="4">
        <v>1</v>
      </c>
      <c r="V5" s="4" t="s">
        <v>42</v>
      </c>
      <c r="W5" s="4" t="s">
        <v>35</v>
      </c>
      <c r="X5" s="4">
        <v>11</v>
      </c>
      <c r="Y5" s="4">
        <v>3</v>
      </c>
      <c r="Z5" s="4">
        <v>3</v>
      </c>
      <c r="AA5" s="4">
        <v>80</v>
      </c>
      <c r="AB5" s="4">
        <v>0</v>
      </c>
      <c r="AC5" s="4">
        <v>8</v>
      </c>
      <c r="AD5" s="4">
        <v>3</v>
      </c>
      <c r="AE5" s="4">
        <v>3</v>
      </c>
      <c r="AF5" s="4">
        <v>8</v>
      </c>
      <c r="AG5" s="4">
        <v>7</v>
      </c>
      <c r="AH5" s="4">
        <v>3</v>
      </c>
      <c r="AI5" s="4">
        <v>0</v>
      </c>
      <c r="AJ5" s="4"/>
      <c r="AK5" s="4"/>
      <c r="AL5" s="4"/>
      <c r="AM5" s="4"/>
      <c r="AN5" s="4"/>
      <c r="AO5" s="4"/>
    </row>
    <row r="6" spans="1:41" hidden="1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41" hidden="1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41" x14ac:dyDescent="0.3">
      <c r="A8" s="4">
        <v>59</v>
      </c>
      <c r="B8" s="4" t="s">
        <v>43</v>
      </c>
      <c r="C8" s="4" t="s">
        <v>36</v>
      </c>
      <c r="D8" s="4">
        <v>1324</v>
      </c>
      <c r="E8" s="4" t="s">
        <v>45</v>
      </c>
      <c r="F8" s="4">
        <v>3</v>
      </c>
      <c r="G8" s="4">
        <v>3</v>
      </c>
      <c r="H8" s="4" t="s">
        <v>51</v>
      </c>
      <c r="I8" s="4">
        <v>1</v>
      </c>
      <c r="J8" s="4">
        <v>10</v>
      </c>
      <c r="K8" s="4">
        <v>3</v>
      </c>
      <c r="L8" s="4" t="s">
        <v>39</v>
      </c>
      <c r="M8" s="4">
        <v>81</v>
      </c>
      <c r="N8" s="4">
        <v>4</v>
      </c>
      <c r="O8" s="4">
        <v>1</v>
      </c>
      <c r="P8" s="4" t="s">
        <v>50</v>
      </c>
      <c r="Q8" s="4">
        <v>1</v>
      </c>
      <c r="R8" s="4" t="s">
        <v>48</v>
      </c>
      <c r="S8" s="4">
        <v>2670</v>
      </c>
      <c r="T8" s="4">
        <v>9964</v>
      </c>
      <c r="U8" s="4">
        <v>4</v>
      </c>
      <c r="V8" s="4" t="s">
        <v>42</v>
      </c>
      <c r="W8" s="4" t="s">
        <v>35</v>
      </c>
      <c r="X8" s="4">
        <v>20</v>
      </c>
      <c r="Y8" s="4">
        <v>4</v>
      </c>
      <c r="Z8" s="4">
        <v>1</v>
      </c>
      <c r="AA8" s="4">
        <v>80</v>
      </c>
      <c r="AB8" s="4">
        <v>3</v>
      </c>
      <c r="AC8" s="4">
        <v>12</v>
      </c>
      <c r="AD8" s="4">
        <v>3</v>
      </c>
      <c r="AE8" s="4">
        <v>2</v>
      </c>
      <c r="AF8" s="4">
        <v>1</v>
      </c>
      <c r="AG8" s="4">
        <v>0</v>
      </c>
      <c r="AH8" s="4">
        <v>0</v>
      </c>
      <c r="AI8" s="4">
        <v>0</v>
      </c>
      <c r="AJ8" s="4"/>
      <c r="AK8" s="4"/>
      <c r="AL8" s="4"/>
      <c r="AM8" s="4"/>
      <c r="AN8" s="4"/>
      <c r="AO8" s="4"/>
    </row>
    <row r="9" spans="1:41" hidden="1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41" hidden="1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41" hidden="1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41" hidden="1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41" x14ac:dyDescent="0.3">
      <c r="A13" s="4">
        <v>29</v>
      </c>
      <c r="B13" s="4" t="s">
        <v>43</v>
      </c>
      <c r="C13" s="4" t="s">
        <v>36</v>
      </c>
      <c r="D13" s="4">
        <v>153</v>
      </c>
      <c r="E13" s="4" t="s">
        <v>45</v>
      </c>
      <c r="F13" s="4">
        <v>15</v>
      </c>
      <c r="G13" s="4">
        <v>2</v>
      </c>
      <c r="H13" s="4" t="s">
        <v>38</v>
      </c>
      <c r="I13" s="4">
        <v>1</v>
      </c>
      <c r="J13" s="4">
        <v>15</v>
      </c>
      <c r="K13" s="4">
        <v>4</v>
      </c>
      <c r="L13" s="4" t="s">
        <v>39</v>
      </c>
      <c r="M13" s="4">
        <v>49</v>
      </c>
      <c r="N13" s="4">
        <v>2</v>
      </c>
      <c r="O13" s="4">
        <v>2</v>
      </c>
      <c r="P13" s="4" t="s">
        <v>50</v>
      </c>
      <c r="Q13" s="4">
        <v>3</v>
      </c>
      <c r="R13" s="4" t="s">
        <v>41</v>
      </c>
      <c r="S13" s="4">
        <v>4193</v>
      </c>
      <c r="T13" s="4">
        <v>12682</v>
      </c>
      <c r="U13" s="4">
        <v>0</v>
      </c>
      <c r="V13" s="4" t="s">
        <v>42</v>
      </c>
      <c r="W13" s="4" t="s">
        <v>35</v>
      </c>
      <c r="X13" s="4">
        <v>12</v>
      </c>
      <c r="Y13" s="4">
        <v>3</v>
      </c>
      <c r="Z13" s="4">
        <v>4</v>
      </c>
      <c r="AA13" s="4">
        <v>80</v>
      </c>
      <c r="AB13" s="4">
        <v>0</v>
      </c>
      <c r="AC13" s="4">
        <v>10</v>
      </c>
      <c r="AD13" s="4">
        <v>3</v>
      </c>
      <c r="AE13" s="4">
        <v>3</v>
      </c>
      <c r="AF13" s="4">
        <v>9</v>
      </c>
      <c r="AG13" s="4">
        <v>5</v>
      </c>
      <c r="AH13" s="4">
        <v>0</v>
      </c>
      <c r="AI13" s="4">
        <v>8</v>
      </c>
      <c r="AJ13" s="4"/>
      <c r="AK13" s="4"/>
      <c r="AL13" s="4"/>
      <c r="AM13" s="4"/>
      <c r="AN13" s="4"/>
      <c r="AO13" s="4"/>
    </row>
    <row r="14" spans="1:41" hidden="1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41" hidden="1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41" x14ac:dyDescent="0.3">
      <c r="A16" s="4">
        <v>28</v>
      </c>
      <c r="B16" s="4" t="s">
        <v>35</v>
      </c>
      <c r="C16" s="4" t="s">
        <v>36</v>
      </c>
      <c r="D16" s="4">
        <v>103</v>
      </c>
      <c r="E16" s="4" t="s">
        <v>45</v>
      </c>
      <c r="F16" s="4">
        <v>24</v>
      </c>
      <c r="G16" s="4">
        <v>3</v>
      </c>
      <c r="H16" s="4" t="s">
        <v>38</v>
      </c>
      <c r="I16" s="4">
        <v>1</v>
      </c>
      <c r="J16" s="4">
        <v>19</v>
      </c>
      <c r="K16" s="4">
        <v>3</v>
      </c>
      <c r="L16" s="4" t="s">
        <v>46</v>
      </c>
      <c r="M16" s="4">
        <v>50</v>
      </c>
      <c r="N16" s="4">
        <v>2</v>
      </c>
      <c r="O16" s="4">
        <v>1</v>
      </c>
      <c r="P16" s="4" t="s">
        <v>50</v>
      </c>
      <c r="Q16" s="4">
        <v>3</v>
      </c>
      <c r="R16" s="4" t="s">
        <v>41</v>
      </c>
      <c r="S16" s="4">
        <v>2028</v>
      </c>
      <c r="T16" s="4">
        <v>12947</v>
      </c>
      <c r="U16" s="4">
        <v>5</v>
      </c>
      <c r="V16" s="4" t="s">
        <v>42</v>
      </c>
      <c r="W16" s="4" t="s">
        <v>35</v>
      </c>
      <c r="X16" s="4">
        <v>14</v>
      </c>
      <c r="Y16" s="4">
        <v>3</v>
      </c>
      <c r="Z16" s="4">
        <v>2</v>
      </c>
      <c r="AA16" s="4">
        <v>80</v>
      </c>
      <c r="AB16" s="4">
        <v>0</v>
      </c>
      <c r="AC16" s="4">
        <v>6</v>
      </c>
      <c r="AD16" s="4">
        <v>4</v>
      </c>
      <c r="AE16" s="4">
        <v>3</v>
      </c>
      <c r="AF16" s="4">
        <v>4</v>
      </c>
      <c r="AG16" s="4">
        <v>2</v>
      </c>
      <c r="AH16" s="4">
        <v>0</v>
      </c>
      <c r="AI16" s="4">
        <v>3</v>
      </c>
      <c r="AJ16" s="4"/>
      <c r="AK16" s="4"/>
      <c r="AL16" s="4"/>
      <c r="AM16" s="4"/>
      <c r="AN16" s="4"/>
      <c r="AO16" s="4"/>
    </row>
    <row r="17" spans="1:41" hidden="1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41" x14ac:dyDescent="0.3">
      <c r="A18" s="4">
        <v>32</v>
      </c>
      <c r="B18" s="4" t="s">
        <v>43</v>
      </c>
      <c r="C18" s="4" t="s">
        <v>36</v>
      </c>
      <c r="D18" s="4">
        <v>334</v>
      </c>
      <c r="E18" s="4" t="s">
        <v>45</v>
      </c>
      <c r="F18" s="4">
        <v>5</v>
      </c>
      <c r="G18" s="4">
        <v>2</v>
      </c>
      <c r="H18" s="4" t="s">
        <v>38</v>
      </c>
      <c r="I18" s="4">
        <v>1</v>
      </c>
      <c r="J18" s="4">
        <v>21</v>
      </c>
      <c r="K18" s="4">
        <v>1</v>
      </c>
      <c r="L18" s="4" t="s">
        <v>46</v>
      </c>
      <c r="M18" s="4">
        <v>80</v>
      </c>
      <c r="N18" s="4">
        <v>4</v>
      </c>
      <c r="O18" s="4">
        <v>1</v>
      </c>
      <c r="P18" s="4" t="s">
        <v>47</v>
      </c>
      <c r="Q18" s="4">
        <v>2</v>
      </c>
      <c r="R18" s="4" t="s">
        <v>52</v>
      </c>
      <c r="S18" s="4">
        <v>3298</v>
      </c>
      <c r="T18" s="4">
        <v>15053</v>
      </c>
      <c r="U18" s="4">
        <v>0</v>
      </c>
      <c r="V18" s="4" t="s">
        <v>42</v>
      </c>
      <c r="W18" s="4" t="s">
        <v>35</v>
      </c>
      <c r="X18" s="4">
        <v>12</v>
      </c>
      <c r="Y18" s="4">
        <v>3</v>
      </c>
      <c r="Z18" s="4">
        <v>4</v>
      </c>
      <c r="AA18" s="4">
        <v>80</v>
      </c>
      <c r="AB18" s="4">
        <v>2</v>
      </c>
      <c r="AC18" s="4">
        <v>7</v>
      </c>
      <c r="AD18" s="4">
        <v>5</v>
      </c>
      <c r="AE18" s="4">
        <v>2</v>
      </c>
      <c r="AF18" s="4">
        <v>6</v>
      </c>
      <c r="AG18" s="4">
        <v>2</v>
      </c>
      <c r="AH18" s="4">
        <v>0</v>
      </c>
      <c r="AI18" s="4">
        <v>5</v>
      </c>
      <c r="AJ18" s="4"/>
      <c r="AK18" s="4"/>
      <c r="AL18" s="4"/>
      <c r="AM18" s="4"/>
      <c r="AN18" s="4"/>
      <c r="AO18" s="4"/>
    </row>
    <row r="19" spans="1:41" x14ac:dyDescent="0.3">
      <c r="A19" s="4">
        <v>22</v>
      </c>
      <c r="B19" s="4" t="s">
        <v>43</v>
      </c>
      <c r="C19" s="4" t="s">
        <v>55</v>
      </c>
      <c r="D19" s="4">
        <v>1123</v>
      </c>
      <c r="E19" s="4" t="s">
        <v>45</v>
      </c>
      <c r="F19" s="4">
        <v>16</v>
      </c>
      <c r="G19" s="4">
        <v>2</v>
      </c>
      <c r="H19" s="4" t="s">
        <v>51</v>
      </c>
      <c r="I19" s="4">
        <v>1</v>
      </c>
      <c r="J19" s="4">
        <v>22</v>
      </c>
      <c r="K19" s="4">
        <v>4</v>
      </c>
      <c r="L19" s="4" t="s">
        <v>46</v>
      </c>
      <c r="M19" s="4">
        <v>96</v>
      </c>
      <c r="N19" s="4">
        <v>4</v>
      </c>
      <c r="O19" s="4">
        <v>1</v>
      </c>
      <c r="P19" s="4" t="s">
        <v>50</v>
      </c>
      <c r="Q19" s="4">
        <v>4</v>
      </c>
      <c r="R19" s="4" t="s">
        <v>52</v>
      </c>
      <c r="S19" s="4">
        <v>2935</v>
      </c>
      <c r="T19" s="4">
        <v>7324</v>
      </c>
      <c r="U19" s="4">
        <v>1</v>
      </c>
      <c r="V19" s="4" t="s">
        <v>42</v>
      </c>
      <c r="W19" s="4" t="s">
        <v>35</v>
      </c>
      <c r="X19" s="4">
        <v>13</v>
      </c>
      <c r="Y19" s="4">
        <v>3</v>
      </c>
      <c r="Z19" s="4">
        <v>2</v>
      </c>
      <c r="AA19" s="4">
        <v>80</v>
      </c>
      <c r="AB19" s="4">
        <v>2</v>
      </c>
      <c r="AC19" s="4">
        <v>1</v>
      </c>
      <c r="AD19" s="4">
        <v>2</v>
      </c>
      <c r="AE19" s="4">
        <v>2</v>
      </c>
      <c r="AF19" s="4">
        <v>1</v>
      </c>
      <c r="AG19" s="4">
        <v>0</v>
      </c>
      <c r="AH19" s="4">
        <v>0</v>
      </c>
      <c r="AI19" s="4">
        <v>0</v>
      </c>
      <c r="AJ19" s="4"/>
      <c r="AK19" s="4"/>
      <c r="AL19" s="4"/>
      <c r="AM19" s="4"/>
      <c r="AN19" s="4"/>
      <c r="AO19" s="4"/>
    </row>
    <row r="20" spans="1:41" hidden="1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41" x14ac:dyDescent="0.3">
      <c r="A21" s="4">
        <v>38</v>
      </c>
      <c r="B21" s="4" t="s">
        <v>43</v>
      </c>
      <c r="C21" s="4" t="s">
        <v>36</v>
      </c>
      <c r="D21" s="4">
        <v>371</v>
      </c>
      <c r="E21" s="4" t="s">
        <v>45</v>
      </c>
      <c r="F21" s="4">
        <v>2</v>
      </c>
      <c r="G21" s="4">
        <v>3</v>
      </c>
      <c r="H21" s="4" t="s">
        <v>38</v>
      </c>
      <c r="I21" s="4">
        <v>1</v>
      </c>
      <c r="J21" s="4">
        <v>24</v>
      </c>
      <c r="K21" s="4">
        <v>4</v>
      </c>
      <c r="L21" s="4" t="s">
        <v>46</v>
      </c>
      <c r="M21" s="4">
        <v>45</v>
      </c>
      <c r="N21" s="4">
        <v>3</v>
      </c>
      <c r="O21" s="4">
        <v>1</v>
      </c>
      <c r="P21" s="4" t="s">
        <v>47</v>
      </c>
      <c r="Q21" s="4">
        <v>4</v>
      </c>
      <c r="R21" s="4" t="s">
        <v>41</v>
      </c>
      <c r="S21" s="4">
        <v>3944</v>
      </c>
      <c r="T21" s="4">
        <v>4306</v>
      </c>
      <c r="U21" s="4">
        <v>5</v>
      </c>
      <c r="V21" s="4" t="s">
        <v>42</v>
      </c>
      <c r="W21" s="4" t="s">
        <v>35</v>
      </c>
      <c r="X21" s="4">
        <v>11</v>
      </c>
      <c r="Y21" s="4">
        <v>3</v>
      </c>
      <c r="Z21" s="4">
        <v>3</v>
      </c>
      <c r="AA21" s="4">
        <v>80</v>
      </c>
      <c r="AB21" s="4">
        <v>0</v>
      </c>
      <c r="AC21" s="4">
        <v>6</v>
      </c>
      <c r="AD21" s="4">
        <v>3</v>
      </c>
      <c r="AE21" s="4">
        <v>3</v>
      </c>
      <c r="AF21" s="4">
        <v>3</v>
      </c>
      <c r="AG21" s="4">
        <v>2</v>
      </c>
      <c r="AH21" s="4">
        <v>1</v>
      </c>
      <c r="AI21" s="4">
        <v>2</v>
      </c>
      <c r="AJ21" s="4"/>
      <c r="AK21" s="4"/>
      <c r="AL21" s="4"/>
      <c r="AM21" s="4"/>
      <c r="AN21" s="4"/>
      <c r="AO21" s="4"/>
    </row>
    <row r="22" spans="1:41" hidden="1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41" hidden="1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41" hidden="1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41" hidden="1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41" hidden="1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41" hidden="1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41" x14ac:dyDescent="0.3">
      <c r="A28" s="4">
        <v>32</v>
      </c>
      <c r="B28" s="4" t="s">
        <v>35</v>
      </c>
      <c r="C28" s="4" t="s">
        <v>44</v>
      </c>
      <c r="D28" s="4">
        <v>1125</v>
      </c>
      <c r="E28" s="4" t="s">
        <v>45</v>
      </c>
      <c r="F28" s="4">
        <v>16</v>
      </c>
      <c r="G28" s="4">
        <v>1</v>
      </c>
      <c r="H28" s="4" t="s">
        <v>38</v>
      </c>
      <c r="I28" s="4">
        <v>1</v>
      </c>
      <c r="J28" s="4">
        <v>33</v>
      </c>
      <c r="K28" s="4">
        <v>2</v>
      </c>
      <c r="L28" s="4" t="s">
        <v>39</v>
      </c>
      <c r="M28" s="4">
        <v>72</v>
      </c>
      <c r="N28" s="4">
        <v>1</v>
      </c>
      <c r="O28" s="4">
        <v>1</v>
      </c>
      <c r="P28" s="4" t="s">
        <v>47</v>
      </c>
      <c r="Q28" s="4">
        <v>1</v>
      </c>
      <c r="R28" s="4" t="s">
        <v>41</v>
      </c>
      <c r="S28" s="4">
        <v>3919</v>
      </c>
      <c r="T28" s="4">
        <v>4681</v>
      </c>
      <c r="U28" s="4">
        <v>1</v>
      </c>
      <c r="V28" s="4" t="s">
        <v>42</v>
      </c>
      <c r="W28" s="4" t="s">
        <v>35</v>
      </c>
      <c r="X28" s="4">
        <v>22</v>
      </c>
      <c r="Y28" s="4">
        <v>4</v>
      </c>
      <c r="Z28" s="4">
        <v>2</v>
      </c>
      <c r="AA28" s="4">
        <v>80</v>
      </c>
      <c r="AB28" s="4">
        <v>0</v>
      </c>
      <c r="AC28" s="4">
        <v>10</v>
      </c>
      <c r="AD28" s="4">
        <v>5</v>
      </c>
      <c r="AE28" s="4">
        <v>3</v>
      </c>
      <c r="AF28" s="4">
        <v>10</v>
      </c>
      <c r="AG28" s="4">
        <v>2</v>
      </c>
      <c r="AH28" s="4">
        <v>6</v>
      </c>
      <c r="AI28" s="4">
        <v>7</v>
      </c>
      <c r="AJ28" s="4"/>
      <c r="AK28" s="4"/>
      <c r="AL28" s="4"/>
      <c r="AM28" s="4"/>
      <c r="AN28" s="4"/>
      <c r="AO28" s="4"/>
    </row>
    <row r="29" spans="1:41" hidden="1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41" hidden="1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41" hidden="1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41" hidden="1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41" x14ac:dyDescent="0.3">
      <c r="A33" s="4">
        <v>44</v>
      </c>
      <c r="B33" s="4" t="s">
        <v>43</v>
      </c>
      <c r="C33" s="4" t="s">
        <v>36</v>
      </c>
      <c r="D33" s="4">
        <v>1459</v>
      </c>
      <c r="E33" s="4" t="s">
        <v>45</v>
      </c>
      <c r="F33" s="4">
        <v>10</v>
      </c>
      <c r="G33" s="4">
        <v>4</v>
      </c>
      <c r="H33" s="4" t="s">
        <v>49</v>
      </c>
      <c r="I33" s="4">
        <v>1</v>
      </c>
      <c r="J33" s="4">
        <v>40</v>
      </c>
      <c r="K33" s="4">
        <v>4</v>
      </c>
      <c r="L33" s="4" t="s">
        <v>46</v>
      </c>
      <c r="M33" s="4">
        <v>41</v>
      </c>
      <c r="N33" s="4">
        <v>3</v>
      </c>
      <c r="O33" s="4">
        <v>2</v>
      </c>
      <c r="P33" s="4" t="s">
        <v>54</v>
      </c>
      <c r="Q33" s="4">
        <v>4</v>
      </c>
      <c r="R33" s="4" t="s">
        <v>48</v>
      </c>
      <c r="S33" s="4">
        <v>6465</v>
      </c>
      <c r="T33" s="4">
        <v>19121</v>
      </c>
      <c r="U33" s="4">
        <v>2</v>
      </c>
      <c r="V33" s="4" t="s">
        <v>42</v>
      </c>
      <c r="W33" s="4" t="s">
        <v>35</v>
      </c>
      <c r="X33" s="4">
        <v>13</v>
      </c>
      <c r="Y33" s="4">
        <v>3</v>
      </c>
      <c r="Z33" s="4">
        <v>4</v>
      </c>
      <c r="AA33" s="4">
        <v>80</v>
      </c>
      <c r="AB33" s="4">
        <v>0</v>
      </c>
      <c r="AC33" s="4">
        <v>9</v>
      </c>
      <c r="AD33" s="4">
        <v>5</v>
      </c>
      <c r="AE33" s="4">
        <v>4</v>
      </c>
      <c r="AF33" s="4">
        <v>4</v>
      </c>
      <c r="AG33" s="4">
        <v>2</v>
      </c>
      <c r="AH33" s="4">
        <v>1</v>
      </c>
      <c r="AI33" s="4">
        <v>3</v>
      </c>
      <c r="AJ33" s="4"/>
      <c r="AK33" s="4"/>
      <c r="AL33" s="4"/>
      <c r="AM33" s="4"/>
      <c r="AN33" s="4"/>
      <c r="AO33" s="4"/>
    </row>
    <row r="34" spans="1:41" hidden="1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41" hidden="1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41" x14ac:dyDescent="0.3">
      <c r="A36" s="4">
        <v>24</v>
      </c>
      <c r="B36" s="4" t="s">
        <v>35</v>
      </c>
      <c r="C36" s="4" t="s">
        <v>36</v>
      </c>
      <c r="D36" s="4">
        <v>813</v>
      </c>
      <c r="E36" s="4" t="s">
        <v>45</v>
      </c>
      <c r="F36" s="4">
        <v>1</v>
      </c>
      <c r="G36" s="4">
        <v>3</v>
      </c>
      <c r="H36" s="4" t="s">
        <v>51</v>
      </c>
      <c r="I36" s="4">
        <v>1</v>
      </c>
      <c r="J36" s="4">
        <v>45</v>
      </c>
      <c r="K36" s="4">
        <v>2</v>
      </c>
      <c r="L36" s="4" t="s">
        <v>46</v>
      </c>
      <c r="M36" s="4">
        <v>61</v>
      </c>
      <c r="N36" s="4">
        <v>3</v>
      </c>
      <c r="O36" s="4">
        <v>1</v>
      </c>
      <c r="P36" s="4" t="s">
        <v>47</v>
      </c>
      <c r="Q36" s="4">
        <v>4</v>
      </c>
      <c r="R36" s="4" t="s">
        <v>48</v>
      </c>
      <c r="S36" s="4">
        <v>2293</v>
      </c>
      <c r="T36" s="4">
        <v>3020</v>
      </c>
      <c r="U36" s="4">
        <v>2</v>
      </c>
      <c r="V36" s="4" t="s">
        <v>42</v>
      </c>
      <c r="W36" s="4" t="s">
        <v>35</v>
      </c>
      <c r="X36" s="4">
        <v>16</v>
      </c>
      <c r="Y36" s="4">
        <v>3</v>
      </c>
      <c r="Z36" s="4">
        <v>1</v>
      </c>
      <c r="AA36" s="4">
        <v>80</v>
      </c>
      <c r="AB36" s="4">
        <v>1</v>
      </c>
      <c r="AC36" s="4">
        <v>6</v>
      </c>
      <c r="AD36" s="4">
        <v>2</v>
      </c>
      <c r="AE36" s="4">
        <v>2</v>
      </c>
      <c r="AF36" s="4">
        <v>2</v>
      </c>
      <c r="AG36" s="4">
        <v>0</v>
      </c>
      <c r="AH36" s="4">
        <v>2</v>
      </c>
      <c r="AI36" s="4">
        <v>0</v>
      </c>
      <c r="AJ36" s="4"/>
      <c r="AK36" s="4"/>
      <c r="AL36" s="4"/>
      <c r="AM36" s="4"/>
      <c r="AN36" s="4"/>
      <c r="AO36" s="4"/>
    </row>
    <row r="37" spans="1:41" hidden="1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41" x14ac:dyDescent="0.3">
      <c r="A38" s="4">
        <v>50</v>
      </c>
      <c r="B38" s="4" t="s">
        <v>35</v>
      </c>
      <c r="C38" s="4" t="s">
        <v>36</v>
      </c>
      <c r="D38" s="4">
        <v>869</v>
      </c>
      <c r="E38" s="4" t="s">
        <v>37</v>
      </c>
      <c r="F38" s="4">
        <v>3</v>
      </c>
      <c r="G38" s="4">
        <v>2</v>
      </c>
      <c r="H38" s="4" t="s">
        <v>59</v>
      </c>
      <c r="I38" s="4">
        <v>1</v>
      </c>
      <c r="J38" s="4">
        <v>47</v>
      </c>
      <c r="K38" s="4">
        <v>1</v>
      </c>
      <c r="L38" s="4" t="s">
        <v>46</v>
      </c>
      <c r="M38" s="4">
        <v>86</v>
      </c>
      <c r="N38" s="4">
        <v>2</v>
      </c>
      <c r="O38" s="4">
        <v>1</v>
      </c>
      <c r="P38" s="4" t="s">
        <v>57</v>
      </c>
      <c r="Q38" s="4">
        <v>3</v>
      </c>
      <c r="R38" s="4" t="s">
        <v>48</v>
      </c>
      <c r="S38" s="4">
        <v>2683</v>
      </c>
      <c r="T38" s="4">
        <v>3810</v>
      </c>
      <c r="U38" s="4">
        <v>1</v>
      </c>
      <c r="V38" s="4" t="s">
        <v>42</v>
      </c>
      <c r="W38" s="4" t="s">
        <v>35</v>
      </c>
      <c r="X38" s="4">
        <v>14</v>
      </c>
      <c r="Y38" s="4">
        <v>3</v>
      </c>
      <c r="Z38" s="4">
        <v>3</v>
      </c>
      <c r="AA38" s="4">
        <v>80</v>
      </c>
      <c r="AB38" s="4">
        <v>0</v>
      </c>
      <c r="AC38" s="4">
        <v>3</v>
      </c>
      <c r="AD38" s="4">
        <v>2</v>
      </c>
      <c r="AE38" s="4">
        <v>3</v>
      </c>
      <c r="AF38" s="4">
        <v>3</v>
      </c>
      <c r="AG38" s="4">
        <v>2</v>
      </c>
      <c r="AH38" s="4">
        <v>0</v>
      </c>
      <c r="AI38" s="4">
        <v>2</v>
      </c>
      <c r="AJ38" s="4"/>
      <c r="AK38" s="4"/>
      <c r="AL38" s="4"/>
      <c r="AM38" s="4"/>
      <c r="AN38" s="4"/>
      <c r="AO38" s="4"/>
    </row>
    <row r="39" spans="1:41" hidden="1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41" x14ac:dyDescent="0.3">
      <c r="A40" s="4">
        <v>36</v>
      </c>
      <c r="B40" s="4" t="s">
        <v>43</v>
      </c>
      <c r="C40" s="4" t="s">
        <v>36</v>
      </c>
      <c r="D40" s="4">
        <v>852</v>
      </c>
      <c r="E40" s="4" t="s">
        <v>45</v>
      </c>
      <c r="F40" s="4">
        <v>5</v>
      </c>
      <c r="G40" s="4">
        <v>4</v>
      </c>
      <c r="H40" s="4" t="s">
        <v>38</v>
      </c>
      <c r="I40" s="4">
        <v>1</v>
      </c>
      <c r="J40" s="4">
        <v>51</v>
      </c>
      <c r="K40" s="4">
        <v>2</v>
      </c>
      <c r="L40" s="4" t="s">
        <v>39</v>
      </c>
      <c r="M40" s="4">
        <v>82</v>
      </c>
      <c r="N40" s="4">
        <v>2</v>
      </c>
      <c r="O40" s="4">
        <v>1</v>
      </c>
      <c r="P40" s="4" t="s">
        <v>47</v>
      </c>
      <c r="Q40" s="4">
        <v>1</v>
      </c>
      <c r="R40" s="4" t="s">
        <v>48</v>
      </c>
      <c r="S40" s="4">
        <v>3419</v>
      </c>
      <c r="T40" s="4">
        <v>13072</v>
      </c>
      <c r="U40" s="4">
        <v>9</v>
      </c>
      <c r="V40" s="4" t="s">
        <v>42</v>
      </c>
      <c r="W40" s="4" t="s">
        <v>35</v>
      </c>
      <c r="X40" s="4">
        <v>14</v>
      </c>
      <c r="Y40" s="4">
        <v>3</v>
      </c>
      <c r="Z40" s="4">
        <v>4</v>
      </c>
      <c r="AA40" s="4">
        <v>80</v>
      </c>
      <c r="AB40" s="4">
        <v>1</v>
      </c>
      <c r="AC40" s="4">
        <v>6</v>
      </c>
      <c r="AD40" s="4">
        <v>3</v>
      </c>
      <c r="AE40" s="4">
        <v>4</v>
      </c>
      <c r="AF40" s="4">
        <v>1</v>
      </c>
      <c r="AG40" s="4">
        <v>1</v>
      </c>
      <c r="AH40" s="4">
        <v>0</v>
      </c>
      <c r="AI40" s="4">
        <v>0</v>
      </c>
      <c r="AJ40" s="4"/>
      <c r="AK40" s="4"/>
      <c r="AL40" s="4"/>
      <c r="AM40" s="4"/>
      <c r="AN40" s="4"/>
      <c r="AO40" s="4"/>
    </row>
    <row r="41" spans="1:41" hidden="1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41" hidden="1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41" hidden="1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41" hidden="1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41" hidden="1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41" hidden="1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41" hidden="1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41" hidden="1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41" hidden="1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41" x14ac:dyDescent="0.3">
      <c r="A50" s="4">
        <v>46</v>
      </c>
      <c r="B50" s="4" t="s">
        <v>43</v>
      </c>
      <c r="C50" s="4" t="s">
        <v>44</v>
      </c>
      <c r="D50" s="4">
        <v>1211</v>
      </c>
      <c r="E50" s="4" t="s">
        <v>37</v>
      </c>
      <c r="F50" s="4">
        <v>5</v>
      </c>
      <c r="G50" s="4">
        <v>4</v>
      </c>
      <c r="H50" s="4" t="s">
        <v>59</v>
      </c>
      <c r="I50" s="4">
        <v>1</v>
      </c>
      <c r="J50" s="4">
        <v>62</v>
      </c>
      <c r="K50" s="4">
        <v>1</v>
      </c>
      <c r="L50" s="4" t="s">
        <v>46</v>
      </c>
      <c r="M50" s="4">
        <v>98</v>
      </c>
      <c r="N50" s="4">
        <v>3</v>
      </c>
      <c r="O50" s="4">
        <v>2</v>
      </c>
      <c r="P50" s="4" t="s">
        <v>40</v>
      </c>
      <c r="Q50" s="4">
        <v>4</v>
      </c>
      <c r="R50" s="4" t="s">
        <v>41</v>
      </c>
      <c r="S50" s="4">
        <v>5772</v>
      </c>
      <c r="T50" s="4">
        <v>20445</v>
      </c>
      <c r="U50" s="4">
        <v>4</v>
      </c>
      <c r="V50" s="4" t="s">
        <v>42</v>
      </c>
      <c r="W50" s="4" t="s">
        <v>35</v>
      </c>
      <c r="X50" s="4">
        <v>21</v>
      </c>
      <c r="Y50" s="4">
        <v>4</v>
      </c>
      <c r="Z50" s="4">
        <v>3</v>
      </c>
      <c r="AA50" s="4">
        <v>80</v>
      </c>
      <c r="AB50" s="4">
        <v>0</v>
      </c>
      <c r="AC50" s="4">
        <v>14</v>
      </c>
      <c r="AD50" s="4">
        <v>4</v>
      </c>
      <c r="AE50" s="4">
        <v>3</v>
      </c>
      <c r="AF50" s="4">
        <v>9</v>
      </c>
      <c r="AG50" s="4">
        <v>6</v>
      </c>
      <c r="AH50" s="4">
        <v>0</v>
      </c>
      <c r="AI50" s="4">
        <v>8</v>
      </c>
      <c r="AJ50" s="4"/>
      <c r="AK50" s="4"/>
      <c r="AL50" s="4"/>
      <c r="AM50" s="4"/>
      <c r="AN50" s="4"/>
      <c r="AO50" s="4"/>
    </row>
    <row r="51" spans="1:41" hidden="1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41" x14ac:dyDescent="0.3">
      <c r="A52" s="4">
        <v>48</v>
      </c>
      <c r="B52" s="4" t="s">
        <v>35</v>
      </c>
      <c r="C52" s="4" t="s">
        <v>36</v>
      </c>
      <c r="D52" s="4">
        <v>626</v>
      </c>
      <c r="E52" s="4" t="s">
        <v>45</v>
      </c>
      <c r="F52" s="4">
        <v>1</v>
      </c>
      <c r="G52" s="4">
        <v>2</v>
      </c>
      <c r="H52" s="4" t="s">
        <v>38</v>
      </c>
      <c r="I52" s="4">
        <v>1</v>
      </c>
      <c r="J52" s="4">
        <v>64</v>
      </c>
      <c r="K52" s="4">
        <v>1</v>
      </c>
      <c r="L52" s="4" t="s">
        <v>46</v>
      </c>
      <c r="M52" s="4">
        <v>98</v>
      </c>
      <c r="N52" s="4">
        <v>2</v>
      </c>
      <c r="O52" s="4">
        <v>3</v>
      </c>
      <c r="P52" s="4" t="s">
        <v>50</v>
      </c>
      <c r="Q52" s="4">
        <v>3</v>
      </c>
      <c r="R52" s="4" t="s">
        <v>41</v>
      </c>
      <c r="S52" s="4">
        <v>5381</v>
      </c>
      <c r="T52" s="4">
        <v>19294</v>
      </c>
      <c r="U52" s="4">
        <v>9</v>
      </c>
      <c r="V52" s="4" t="s">
        <v>42</v>
      </c>
      <c r="W52" s="4" t="s">
        <v>35</v>
      </c>
      <c r="X52" s="4">
        <v>13</v>
      </c>
      <c r="Y52" s="4">
        <v>3</v>
      </c>
      <c r="Z52" s="4">
        <v>4</v>
      </c>
      <c r="AA52" s="4">
        <v>80</v>
      </c>
      <c r="AB52" s="4">
        <v>0</v>
      </c>
      <c r="AC52" s="4">
        <v>23</v>
      </c>
      <c r="AD52" s="4">
        <v>2</v>
      </c>
      <c r="AE52" s="4">
        <v>3</v>
      </c>
      <c r="AF52" s="4">
        <v>1</v>
      </c>
      <c r="AG52" s="4">
        <v>0</v>
      </c>
      <c r="AH52" s="4">
        <v>0</v>
      </c>
      <c r="AI52" s="4">
        <v>0</v>
      </c>
      <c r="AJ52" s="4"/>
      <c r="AK52" s="4"/>
      <c r="AL52" s="4"/>
      <c r="AM52" s="4"/>
      <c r="AN52" s="4"/>
      <c r="AO52" s="4"/>
    </row>
    <row r="53" spans="1:41" x14ac:dyDescent="0.3">
      <c r="A53" s="4">
        <v>28</v>
      </c>
      <c r="B53" s="4" t="s">
        <v>35</v>
      </c>
      <c r="C53" s="4" t="s">
        <v>36</v>
      </c>
      <c r="D53" s="4">
        <v>1434</v>
      </c>
      <c r="E53" s="4" t="s">
        <v>45</v>
      </c>
      <c r="F53" s="4">
        <v>5</v>
      </c>
      <c r="G53" s="4">
        <v>4</v>
      </c>
      <c r="H53" s="4" t="s">
        <v>60</v>
      </c>
      <c r="I53" s="4">
        <v>1</v>
      </c>
      <c r="J53" s="4">
        <v>65</v>
      </c>
      <c r="K53" s="4">
        <v>3</v>
      </c>
      <c r="L53" s="4" t="s">
        <v>46</v>
      </c>
      <c r="M53" s="4">
        <v>50</v>
      </c>
      <c r="N53" s="4">
        <v>3</v>
      </c>
      <c r="O53" s="4">
        <v>1</v>
      </c>
      <c r="P53" s="4" t="s">
        <v>50</v>
      </c>
      <c r="Q53" s="4">
        <v>3</v>
      </c>
      <c r="R53" s="4" t="s">
        <v>41</v>
      </c>
      <c r="S53" s="4">
        <v>3441</v>
      </c>
      <c r="T53" s="4">
        <v>11179</v>
      </c>
      <c r="U53" s="4">
        <v>1</v>
      </c>
      <c r="V53" s="4" t="s">
        <v>42</v>
      </c>
      <c r="W53" s="4" t="s">
        <v>35</v>
      </c>
      <c r="X53" s="4">
        <v>13</v>
      </c>
      <c r="Y53" s="4">
        <v>3</v>
      </c>
      <c r="Z53" s="4">
        <v>3</v>
      </c>
      <c r="AA53" s="4">
        <v>80</v>
      </c>
      <c r="AB53" s="4">
        <v>0</v>
      </c>
      <c r="AC53" s="4">
        <v>2</v>
      </c>
      <c r="AD53" s="4">
        <v>3</v>
      </c>
      <c r="AE53" s="4">
        <v>2</v>
      </c>
      <c r="AF53" s="4">
        <v>2</v>
      </c>
      <c r="AG53" s="4">
        <v>2</v>
      </c>
      <c r="AH53" s="4">
        <v>2</v>
      </c>
      <c r="AI53" s="4">
        <v>2</v>
      </c>
      <c r="AJ53" s="4"/>
      <c r="AK53" s="4"/>
      <c r="AL53" s="4"/>
      <c r="AM53" s="4"/>
      <c r="AN53" s="4"/>
      <c r="AO53" s="4"/>
    </row>
    <row r="54" spans="1:41" x14ac:dyDescent="0.3">
      <c r="A54" s="4">
        <v>44</v>
      </c>
      <c r="B54" s="4" t="s">
        <v>43</v>
      </c>
      <c r="C54" s="4" t="s">
        <v>36</v>
      </c>
      <c r="D54" s="4">
        <v>1488</v>
      </c>
      <c r="E54" s="4" t="s">
        <v>37</v>
      </c>
      <c r="F54" s="4">
        <v>1</v>
      </c>
      <c r="G54" s="4">
        <v>5</v>
      </c>
      <c r="H54" s="4" t="s">
        <v>59</v>
      </c>
      <c r="I54" s="4">
        <v>1</v>
      </c>
      <c r="J54" s="4">
        <v>68</v>
      </c>
      <c r="K54" s="4">
        <v>2</v>
      </c>
      <c r="L54" s="4" t="s">
        <v>39</v>
      </c>
      <c r="M54" s="4">
        <v>75</v>
      </c>
      <c r="N54" s="4">
        <v>3</v>
      </c>
      <c r="O54" s="4">
        <v>2</v>
      </c>
      <c r="P54" s="4" t="s">
        <v>40</v>
      </c>
      <c r="Q54" s="4">
        <v>1</v>
      </c>
      <c r="R54" s="4" t="s">
        <v>52</v>
      </c>
      <c r="S54" s="4">
        <v>5454</v>
      </c>
      <c r="T54" s="4">
        <v>4009</v>
      </c>
      <c r="U54" s="4">
        <v>5</v>
      </c>
      <c r="V54" s="4" t="s">
        <v>42</v>
      </c>
      <c r="W54" s="4" t="s">
        <v>35</v>
      </c>
      <c r="X54" s="4">
        <v>21</v>
      </c>
      <c r="Y54" s="4">
        <v>4</v>
      </c>
      <c r="Z54" s="4">
        <v>3</v>
      </c>
      <c r="AA54" s="4">
        <v>80</v>
      </c>
      <c r="AB54" s="4">
        <v>1</v>
      </c>
      <c r="AC54" s="4">
        <v>9</v>
      </c>
      <c r="AD54" s="4">
        <v>2</v>
      </c>
      <c r="AE54" s="4">
        <v>2</v>
      </c>
      <c r="AF54" s="4">
        <v>4</v>
      </c>
      <c r="AG54" s="4">
        <v>3</v>
      </c>
      <c r="AH54" s="4">
        <v>1</v>
      </c>
      <c r="AI54" s="4">
        <v>3</v>
      </c>
      <c r="AJ54" s="4"/>
      <c r="AK54" s="4"/>
      <c r="AL54" s="4"/>
      <c r="AM54" s="4"/>
      <c r="AN54" s="4"/>
      <c r="AO54" s="4"/>
    </row>
    <row r="55" spans="1:41" x14ac:dyDescent="0.3">
      <c r="A55" s="4">
        <v>35</v>
      </c>
      <c r="B55" s="4" t="s">
        <v>43</v>
      </c>
      <c r="C55" s="4" t="s">
        <v>55</v>
      </c>
      <c r="D55" s="4">
        <v>1097</v>
      </c>
      <c r="E55" s="4" t="s">
        <v>45</v>
      </c>
      <c r="F55" s="4">
        <v>11</v>
      </c>
      <c r="G55" s="4">
        <v>2</v>
      </c>
      <c r="H55" s="4" t="s">
        <v>51</v>
      </c>
      <c r="I55" s="4">
        <v>1</v>
      </c>
      <c r="J55" s="4">
        <v>70</v>
      </c>
      <c r="K55" s="4">
        <v>3</v>
      </c>
      <c r="L55" s="4" t="s">
        <v>46</v>
      </c>
      <c r="M55" s="4">
        <v>79</v>
      </c>
      <c r="N55" s="4">
        <v>2</v>
      </c>
      <c r="O55" s="4">
        <v>3</v>
      </c>
      <c r="P55" s="4" t="s">
        <v>54</v>
      </c>
      <c r="Q55" s="4">
        <v>1</v>
      </c>
      <c r="R55" s="4" t="s">
        <v>48</v>
      </c>
      <c r="S55" s="4">
        <v>9884</v>
      </c>
      <c r="T55" s="4">
        <v>8302</v>
      </c>
      <c r="U55" s="4">
        <v>2</v>
      </c>
      <c r="V55" s="4" t="s">
        <v>42</v>
      </c>
      <c r="W55" s="4" t="s">
        <v>35</v>
      </c>
      <c r="X55" s="4">
        <v>13</v>
      </c>
      <c r="Y55" s="4">
        <v>3</v>
      </c>
      <c r="Z55" s="4">
        <v>3</v>
      </c>
      <c r="AA55" s="4">
        <v>80</v>
      </c>
      <c r="AB55" s="4">
        <v>1</v>
      </c>
      <c r="AC55" s="4">
        <v>10</v>
      </c>
      <c r="AD55" s="4">
        <v>3</v>
      </c>
      <c r="AE55" s="4">
        <v>3</v>
      </c>
      <c r="AF55" s="4">
        <v>4</v>
      </c>
      <c r="AG55" s="4">
        <v>0</v>
      </c>
      <c r="AH55" s="4">
        <v>2</v>
      </c>
      <c r="AI55" s="4">
        <v>3</v>
      </c>
      <c r="AJ55" s="4"/>
      <c r="AK55" s="4"/>
      <c r="AL55" s="4"/>
      <c r="AM55" s="4"/>
      <c r="AN55" s="4"/>
      <c r="AO55" s="4"/>
    </row>
    <row r="56" spans="1:41" x14ac:dyDescent="0.3">
      <c r="A56" s="4">
        <v>26</v>
      </c>
      <c r="B56" s="4" t="s">
        <v>43</v>
      </c>
      <c r="C56" s="4" t="s">
        <v>36</v>
      </c>
      <c r="D56" s="4">
        <v>1443</v>
      </c>
      <c r="E56" s="4" t="s">
        <v>37</v>
      </c>
      <c r="F56" s="4">
        <v>23</v>
      </c>
      <c r="G56" s="4">
        <v>3</v>
      </c>
      <c r="H56" s="4" t="s">
        <v>59</v>
      </c>
      <c r="I56" s="4">
        <v>1</v>
      </c>
      <c r="J56" s="4">
        <v>72</v>
      </c>
      <c r="K56" s="4">
        <v>3</v>
      </c>
      <c r="L56" s="4" t="s">
        <v>39</v>
      </c>
      <c r="M56" s="4">
        <v>47</v>
      </c>
      <c r="N56" s="4">
        <v>2</v>
      </c>
      <c r="O56" s="4">
        <v>2</v>
      </c>
      <c r="P56" s="4" t="s">
        <v>40</v>
      </c>
      <c r="Q56" s="4">
        <v>4</v>
      </c>
      <c r="R56" s="4" t="s">
        <v>48</v>
      </c>
      <c r="S56" s="4">
        <v>4157</v>
      </c>
      <c r="T56" s="4">
        <v>21436</v>
      </c>
      <c r="U56" s="4">
        <v>7</v>
      </c>
      <c r="V56" s="4" t="s">
        <v>42</v>
      </c>
      <c r="W56" s="4" t="s">
        <v>35</v>
      </c>
      <c r="X56" s="4">
        <v>19</v>
      </c>
      <c r="Y56" s="4">
        <v>3</v>
      </c>
      <c r="Z56" s="4">
        <v>3</v>
      </c>
      <c r="AA56" s="4">
        <v>80</v>
      </c>
      <c r="AB56" s="4">
        <v>1</v>
      </c>
      <c r="AC56" s="4">
        <v>5</v>
      </c>
      <c r="AD56" s="4">
        <v>2</v>
      </c>
      <c r="AE56" s="4">
        <v>2</v>
      </c>
      <c r="AF56" s="4">
        <v>2</v>
      </c>
      <c r="AG56" s="4">
        <v>2</v>
      </c>
      <c r="AH56" s="4">
        <v>0</v>
      </c>
      <c r="AI56" s="4">
        <v>0</v>
      </c>
      <c r="AJ56" s="4"/>
      <c r="AK56" s="4"/>
      <c r="AL56" s="4"/>
      <c r="AM56" s="4"/>
      <c r="AN56" s="4"/>
      <c r="AO56" s="4"/>
    </row>
    <row r="57" spans="1:41" x14ac:dyDescent="0.3">
      <c r="A57" s="4">
        <v>33</v>
      </c>
      <c r="B57" s="4" t="s">
        <v>43</v>
      </c>
      <c r="C57" s="4" t="s">
        <v>44</v>
      </c>
      <c r="D57" s="4">
        <v>515</v>
      </c>
      <c r="E57" s="4" t="s">
        <v>45</v>
      </c>
      <c r="F57" s="4">
        <v>1</v>
      </c>
      <c r="G57" s="4">
        <v>2</v>
      </c>
      <c r="H57" s="4" t="s">
        <v>38</v>
      </c>
      <c r="I57" s="4">
        <v>1</v>
      </c>
      <c r="J57" s="4">
        <v>73</v>
      </c>
      <c r="K57" s="4">
        <v>1</v>
      </c>
      <c r="L57" s="4" t="s">
        <v>39</v>
      </c>
      <c r="M57" s="4">
        <v>98</v>
      </c>
      <c r="N57" s="4">
        <v>3</v>
      </c>
      <c r="O57" s="4">
        <v>3</v>
      </c>
      <c r="P57" s="4" t="s">
        <v>58</v>
      </c>
      <c r="Q57" s="4">
        <v>4</v>
      </c>
      <c r="R57" s="4" t="s">
        <v>41</v>
      </c>
      <c r="S57" s="4">
        <v>13458</v>
      </c>
      <c r="T57" s="4">
        <v>15146</v>
      </c>
      <c r="U57" s="4">
        <v>1</v>
      </c>
      <c r="V57" s="4" t="s">
        <v>42</v>
      </c>
      <c r="W57" s="4" t="s">
        <v>35</v>
      </c>
      <c r="X57" s="4">
        <v>12</v>
      </c>
      <c r="Y57" s="4">
        <v>3</v>
      </c>
      <c r="Z57" s="4">
        <v>3</v>
      </c>
      <c r="AA57" s="4">
        <v>80</v>
      </c>
      <c r="AB57" s="4">
        <v>0</v>
      </c>
      <c r="AC57" s="4">
        <v>15</v>
      </c>
      <c r="AD57" s="4">
        <v>1</v>
      </c>
      <c r="AE57" s="4">
        <v>3</v>
      </c>
      <c r="AF57" s="4">
        <v>15</v>
      </c>
      <c r="AG57" s="4">
        <v>14</v>
      </c>
      <c r="AH57" s="4">
        <v>8</v>
      </c>
      <c r="AI57" s="4">
        <v>12</v>
      </c>
      <c r="AJ57" s="4"/>
      <c r="AK57" s="4"/>
      <c r="AL57" s="4"/>
      <c r="AM57" s="4"/>
      <c r="AN57" s="4"/>
      <c r="AO57" s="4"/>
    </row>
    <row r="58" spans="1:41" hidden="1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41" x14ac:dyDescent="0.3">
      <c r="A59" s="4">
        <v>35</v>
      </c>
      <c r="B59" s="4" t="s">
        <v>43</v>
      </c>
      <c r="C59" s="4" t="s">
        <v>36</v>
      </c>
      <c r="D59" s="4">
        <v>1142</v>
      </c>
      <c r="E59" s="4" t="s">
        <v>45</v>
      </c>
      <c r="F59" s="4">
        <v>23</v>
      </c>
      <c r="G59" s="4">
        <v>4</v>
      </c>
      <c r="H59" s="4" t="s">
        <v>51</v>
      </c>
      <c r="I59" s="4">
        <v>1</v>
      </c>
      <c r="J59" s="4">
        <v>75</v>
      </c>
      <c r="K59" s="4">
        <v>3</v>
      </c>
      <c r="L59" s="4" t="s">
        <v>39</v>
      </c>
      <c r="M59" s="4">
        <v>30</v>
      </c>
      <c r="N59" s="4">
        <v>3</v>
      </c>
      <c r="O59" s="4">
        <v>1</v>
      </c>
      <c r="P59" s="4" t="s">
        <v>50</v>
      </c>
      <c r="Q59" s="4">
        <v>1</v>
      </c>
      <c r="R59" s="4" t="s">
        <v>48</v>
      </c>
      <c r="S59" s="4">
        <v>4014</v>
      </c>
      <c r="T59" s="4">
        <v>16002</v>
      </c>
      <c r="U59" s="4">
        <v>3</v>
      </c>
      <c r="V59" s="4" t="s">
        <v>42</v>
      </c>
      <c r="W59" s="4" t="s">
        <v>35</v>
      </c>
      <c r="X59" s="4">
        <v>15</v>
      </c>
      <c r="Y59" s="4">
        <v>3</v>
      </c>
      <c r="Z59" s="4">
        <v>3</v>
      </c>
      <c r="AA59" s="4">
        <v>80</v>
      </c>
      <c r="AB59" s="4">
        <v>1</v>
      </c>
      <c r="AC59" s="4">
        <v>4</v>
      </c>
      <c r="AD59" s="4">
        <v>3</v>
      </c>
      <c r="AE59" s="4">
        <v>3</v>
      </c>
      <c r="AF59" s="4">
        <v>2</v>
      </c>
      <c r="AG59" s="4">
        <v>2</v>
      </c>
      <c r="AH59" s="4">
        <v>2</v>
      </c>
      <c r="AI59" s="4">
        <v>2</v>
      </c>
      <c r="AJ59" s="4"/>
      <c r="AK59" s="4"/>
      <c r="AL59" s="4"/>
      <c r="AM59" s="4"/>
      <c r="AN59" s="4"/>
      <c r="AO59" s="4"/>
    </row>
    <row r="60" spans="1:41" hidden="1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41" hidden="1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41" x14ac:dyDescent="0.3">
      <c r="A62" s="4">
        <v>32</v>
      </c>
      <c r="B62" s="4" t="s">
        <v>43</v>
      </c>
      <c r="C62" s="4" t="s">
        <v>36</v>
      </c>
      <c r="D62" s="4">
        <v>427</v>
      </c>
      <c r="E62" s="4" t="s">
        <v>45</v>
      </c>
      <c r="F62" s="4">
        <v>1</v>
      </c>
      <c r="G62" s="4">
        <v>3</v>
      </c>
      <c r="H62" s="4" t="s">
        <v>51</v>
      </c>
      <c r="I62" s="4">
        <v>1</v>
      </c>
      <c r="J62" s="4">
        <v>78</v>
      </c>
      <c r="K62" s="4">
        <v>1</v>
      </c>
      <c r="L62" s="4" t="s">
        <v>46</v>
      </c>
      <c r="M62" s="4">
        <v>33</v>
      </c>
      <c r="N62" s="4">
        <v>3</v>
      </c>
      <c r="O62" s="4">
        <v>2</v>
      </c>
      <c r="P62" s="4" t="s">
        <v>53</v>
      </c>
      <c r="Q62" s="4">
        <v>4</v>
      </c>
      <c r="R62" s="4" t="s">
        <v>48</v>
      </c>
      <c r="S62" s="4">
        <v>6162</v>
      </c>
      <c r="T62" s="4">
        <v>10877</v>
      </c>
      <c r="U62" s="4">
        <v>1</v>
      </c>
      <c r="V62" s="4" t="s">
        <v>42</v>
      </c>
      <c r="W62" s="4" t="s">
        <v>35</v>
      </c>
      <c r="X62" s="4">
        <v>22</v>
      </c>
      <c r="Y62" s="4">
        <v>4</v>
      </c>
      <c r="Z62" s="4">
        <v>2</v>
      </c>
      <c r="AA62" s="4">
        <v>80</v>
      </c>
      <c r="AB62" s="4">
        <v>1</v>
      </c>
      <c r="AC62" s="4">
        <v>9</v>
      </c>
      <c r="AD62" s="4">
        <v>3</v>
      </c>
      <c r="AE62" s="4">
        <v>3</v>
      </c>
      <c r="AF62" s="4">
        <v>9</v>
      </c>
      <c r="AG62" s="4">
        <v>8</v>
      </c>
      <c r="AH62" s="4">
        <v>7</v>
      </c>
      <c r="AI62" s="4">
        <v>8</v>
      </c>
      <c r="AJ62" s="4"/>
      <c r="AK62" s="4"/>
      <c r="AL62" s="4"/>
      <c r="AM62" s="4"/>
      <c r="AN62" s="4"/>
      <c r="AO62" s="4"/>
    </row>
    <row r="63" spans="1:41" hidden="1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41" x14ac:dyDescent="0.3">
      <c r="A64" s="4">
        <v>50</v>
      </c>
      <c r="B64" s="4" t="s">
        <v>43</v>
      </c>
      <c r="C64" s="4" t="s">
        <v>36</v>
      </c>
      <c r="D64" s="4">
        <v>989</v>
      </c>
      <c r="E64" s="4" t="s">
        <v>45</v>
      </c>
      <c r="F64" s="4">
        <v>7</v>
      </c>
      <c r="G64" s="4">
        <v>2</v>
      </c>
      <c r="H64" s="4" t="s">
        <v>51</v>
      </c>
      <c r="I64" s="4">
        <v>1</v>
      </c>
      <c r="J64" s="4">
        <v>80</v>
      </c>
      <c r="K64" s="4">
        <v>2</v>
      </c>
      <c r="L64" s="4" t="s">
        <v>39</v>
      </c>
      <c r="M64" s="4">
        <v>43</v>
      </c>
      <c r="N64" s="4">
        <v>2</v>
      </c>
      <c r="O64" s="4">
        <v>5</v>
      </c>
      <c r="P64" s="4" t="s">
        <v>58</v>
      </c>
      <c r="Q64" s="4">
        <v>3</v>
      </c>
      <c r="R64" s="4" t="s">
        <v>52</v>
      </c>
      <c r="S64" s="4">
        <v>18740</v>
      </c>
      <c r="T64" s="4">
        <v>16701</v>
      </c>
      <c r="U64" s="4">
        <v>5</v>
      </c>
      <c r="V64" s="4" t="s">
        <v>42</v>
      </c>
      <c r="W64" s="4" t="s">
        <v>35</v>
      </c>
      <c r="X64" s="4">
        <v>12</v>
      </c>
      <c r="Y64" s="4">
        <v>3</v>
      </c>
      <c r="Z64" s="4">
        <v>4</v>
      </c>
      <c r="AA64" s="4">
        <v>80</v>
      </c>
      <c r="AB64" s="4">
        <v>1</v>
      </c>
      <c r="AC64" s="4">
        <v>29</v>
      </c>
      <c r="AD64" s="4">
        <v>2</v>
      </c>
      <c r="AE64" s="4">
        <v>2</v>
      </c>
      <c r="AF64" s="4">
        <v>27</v>
      </c>
      <c r="AG64" s="4">
        <v>3</v>
      </c>
      <c r="AH64" s="4">
        <v>13</v>
      </c>
      <c r="AI64" s="4">
        <v>8</v>
      </c>
      <c r="AJ64" s="4"/>
      <c r="AK64" s="4"/>
      <c r="AL64" s="4"/>
      <c r="AM64" s="4"/>
      <c r="AN64" s="4"/>
      <c r="AO64" s="4"/>
    </row>
    <row r="65" spans="1:41" hidden="1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41" hidden="1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41" x14ac:dyDescent="0.3">
      <c r="A67" s="4">
        <v>55</v>
      </c>
      <c r="B67" s="4" t="s">
        <v>43</v>
      </c>
      <c r="C67" s="4" t="s">
        <v>36</v>
      </c>
      <c r="D67" s="4">
        <v>836</v>
      </c>
      <c r="E67" s="4" t="s">
        <v>45</v>
      </c>
      <c r="F67" s="4">
        <v>8</v>
      </c>
      <c r="G67" s="4">
        <v>3</v>
      </c>
      <c r="H67" s="4" t="s">
        <v>51</v>
      </c>
      <c r="I67" s="4">
        <v>1</v>
      </c>
      <c r="J67" s="4">
        <v>84</v>
      </c>
      <c r="K67" s="4">
        <v>4</v>
      </c>
      <c r="L67" s="4" t="s">
        <v>39</v>
      </c>
      <c r="M67" s="4">
        <v>33</v>
      </c>
      <c r="N67" s="4">
        <v>3</v>
      </c>
      <c r="O67" s="4">
        <v>4</v>
      </c>
      <c r="P67" s="4" t="s">
        <v>56</v>
      </c>
      <c r="Q67" s="4">
        <v>3</v>
      </c>
      <c r="R67" s="4" t="s">
        <v>52</v>
      </c>
      <c r="S67" s="4">
        <v>14756</v>
      </c>
      <c r="T67" s="4">
        <v>19730</v>
      </c>
      <c r="U67" s="4">
        <v>2</v>
      </c>
      <c r="V67" s="4" t="s">
        <v>42</v>
      </c>
      <c r="W67" s="4" t="s">
        <v>35</v>
      </c>
      <c r="X67" s="4">
        <v>14</v>
      </c>
      <c r="Y67" s="4">
        <v>3</v>
      </c>
      <c r="Z67" s="4">
        <v>3</v>
      </c>
      <c r="AA67" s="4">
        <v>80</v>
      </c>
      <c r="AB67" s="4">
        <v>3</v>
      </c>
      <c r="AC67" s="4">
        <v>21</v>
      </c>
      <c r="AD67" s="4">
        <v>2</v>
      </c>
      <c r="AE67" s="4">
        <v>3</v>
      </c>
      <c r="AF67" s="4">
        <v>5</v>
      </c>
      <c r="AG67" s="4">
        <v>0</v>
      </c>
      <c r="AH67" s="4">
        <v>0</v>
      </c>
      <c r="AI67" s="4">
        <v>2</v>
      </c>
      <c r="AJ67" s="4"/>
      <c r="AK67" s="4"/>
      <c r="AL67" s="4"/>
      <c r="AM67" s="4"/>
      <c r="AN67" s="4"/>
      <c r="AO67" s="4"/>
    </row>
    <row r="68" spans="1:41" hidden="1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41" hidden="1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41" hidden="1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41" x14ac:dyDescent="0.3">
      <c r="A71" s="4">
        <v>36</v>
      </c>
      <c r="B71" s="4" t="s">
        <v>35</v>
      </c>
      <c r="C71" s="4" t="s">
        <v>36</v>
      </c>
      <c r="D71" s="4">
        <v>318</v>
      </c>
      <c r="E71" s="4" t="s">
        <v>45</v>
      </c>
      <c r="F71" s="4">
        <v>9</v>
      </c>
      <c r="G71" s="4">
        <v>3</v>
      </c>
      <c r="H71" s="4" t="s">
        <v>51</v>
      </c>
      <c r="I71" s="4">
        <v>1</v>
      </c>
      <c r="J71" s="4">
        <v>90</v>
      </c>
      <c r="K71" s="4">
        <v>4</v>
      </c>
      <c r="L71" s="4" t="s">
        <v>46</v>
      </c>
      <c r="M71" s="4">
        <v>79</v>
      </c>
      <c r="N71" s="4">
        <v>2</v>
      </c>
      <c r="O71" s="4">
        <v>1</v>
      </c>
      <c r="P71" s="4" t="s">
        <v>47</v>
      </c>
      <c r="Q71" s="4">
        <v>3</v>
      </c>
      <c r="R71" s="4" t="s">
        <v>48</v>
      </c>
      <c r="S71" s="4">
        <v>3388</v>
      </c>
      <c r="T71" s="4">
        <v>21777</v>
      </c>
      <c r="U71" s="4">
        <v>0</v>
      </c>
      <c r="V71" s="4" t="s">
        <v>42</v>
      </c>
      <c r="W71" s="4" t="s">
        <v>35</v>
      </c>
      <c r="X71" s="4">
        <v>17</v>
      </c>
      <c r="Y71" s="4">
        <v>3</v>
      </c>
      <c r="Z71" s="4">
        <v>1</v>
      </c>
      <c r="AA71" s="4">
        <v>80</v>
      </c>
      <c r="AB71" s="4">
        <v>1</v>
      </c>
      <c r="AC71" s="4">
        <v>2</v>
      </c>
      <c r="AD71" s="4">
        <v>0</v>
      </c>
      <c r="AE71" s="4">
        <v>2</v>
      </c>
      <c r="AF71" s="4">
        <v>1</v>
      </c>
      <c r="AG71" s="4">
        <v>0</v>
      </c>
      <c r="AH71" s="4">
        <v>0</v>
      </c>
      <c r="AI71" s="4">
        <v>0</v>
      </c>
      <c r="AJ71" s="4"/>
      <c r="AK71" s="4"/>
      <c r="AL71" s="4"/>
      <c r="AM71" s="4"/>
      <c r="AN71" s="4"/>
      <c r="AO71" s="4"/>
    </row>
    <row r="72" spans="1:41" hidden="1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41" hidden="1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41" hidden="1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41" hidden="1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41" hidden="1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41" hidden="1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41" hidden="1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41" x14ac:dyDescent="0.3">
      <c r="A79" s="4">
        <v>45</v>
      </c>
      <c r="B79" s="4" t="s">
        <v>43</v>
      </c>
      <c r="C79" s="4" t="s">
        <v>36</v>
      </c>
      <c r="D79" s="4">
        <v>193</v>
      </c>
      <c r="E79" s="4" t="s">
        <v>45</v>
      </c>
      <c r="F79" s="4">
        <v>6</v>
      </c>
      <c r="G79" s="4">
        <v>4</v>
      </c>
      <c r="H79" s="4" t="s">
        <v>49</v>
      </c>
      <c r="I79" s="4">
        <v>1</v>
      </c>
      <c r="J79" s="4">
        <v>101</v>
      </c>
      <c r="K79" s="4">
        <v>4</v>
      </c>
      <c r="L79" s="4" t="s">
        <v>46</v>
      </c>
      <c r="M79" s="4">
        <v>52</v>
      </c>
      <c r="N79" s="4">
        <v>3</v>
      </c>
      <c r="O79" s="4">
        <v>3</v>
      </c>
      <c r="P79" s="4" t="s">
        <v>58</v>
      </c>
      <c r="Q79" s="4">
        <v>1</v>
      </c>
      <c r="R79" s="4" t="s">
        <v>48</v>
      </c>
      <c r="S79" s="4">
        <v>13245</v>
      </c>
      <c r="T79" s="4">
        <v>15067</v>
      </c>
      <c r="U79" s="4">
        <v>4</v>
      </c>
      <c r="V79" s="4" t="s">
        <v>42</v>
      </c>
      <c r="W79" s="4" t="s">
        <v>35</v>
      </c>
      <c r="X79" s="4">
        <v>14</v>
      </c>
      <c r="Y79" s="4">
        <v>3</v>
      </c>
      <c r="Z79" s="4">
        <v>2</v>
      </c>
      <c r="AA79" s="4">
        <v>80</v>
      </c>
      <c r="AB79" s="4">
        <v>0</v>
      </c>
      <c r="AC79" s="4">
        <v>17</v>
      </c>
      <c r="AD79" s="4">
        <v>3</v>
      </c>
      <c r="AE79" s="4">
        <v>4</v>
      </c>
      <c r="AF79" s="4">
        <v>0</v>
      </c>
      <c r="AG79" s="4">
        <v>0</v>
      </c>
      <c r="AH79" s="4">
        <v>0</v>
      </c>
      <c r="AI79" s="4">
        <v>0</v>
      </c>
      <c r="AJ79" s="4"/>
      <c r="AK79" s="4"/>
      <c r="AL79" s="4"/>
      <c r="AM79" s="4"/>
      <c r="AN79" s="4"/>
      <c r="AO79" s="4"/>
    </row>
    <row r="80" spans="1:41" hidden="1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41" x14ac:dyDescent="0.3">
      <c r="A81" s="4">
        <v>46</v>
      </c>
      <c r="B81" s="4" t="s">
        <v>43</v>
      </c>
      <c r="C81" s="4" t="s">
        <v>36</v>
      </c>
      <c r="D81" s="4">
        <v>945</v>
      </c>
      <c r="E81" s="4" t="s">
        <v>61</v>
      </c>
      <c r="F81" s="4">
        <v>5</v>
      </c>
      <c r="G81" s="4">
        <v>2</v>
      </c>
      <c r="H81" s="4" t="s">
        <v>51</v>
      </c>
      <c r="I81" s="4">
        <v>1</v>
      </c>
      <c r="J81" s="4">
        <v>103</v>
      </c>
      <c r="K81" s="4">
        <v>2</v>
      </c>
      <c r="L81" s="4" t="s">
        <v>46</v>
      </c>
      <c r="M81" s="4">
        <v>80</v>
      </c>
      <c r="N81" s="4">
        <v>3</v>
      </c>
      <c r="O81" s="4">
        <v>2</v>
      </c>
      <c r="P81" s="4" t="s">
        <v>61</v>
      </c>
      <c r="Q81" s="4">
        <v>2</v>
      </c>
      <c r="R81" s="4" t="s">
        <v>52</v>
      </c>
      <c r="S81" s="4">
        <v>5021</v>
      </c>
      <c r="T81" s="4">
        <v>10425</v>
      </c>
      <c r="U81" s="4">
        <v>8</v>
      </c>
      <c r="V81" s="4" t="s">
        <v>42</v>
      </c>
      <c r="W81" s="4" t="s">
        <v>35</v>
      </c>
      <c r="X81" s="4">
        <v>22</v>
      </c>
      <c r="Y81" s="4">
        <v>4</v>
      </c>
      <c r="Z81" s="4">
        <v>4</v>
      </c>
      <c r="AA81" s="4">
        <v>80</v>
      </c>
      <c r="AB81" s="4">
        <v>1</v>
      </c>
      <c r="AC81" s="4">
        <v>16</v>
      </c>
      <c r="AD81" s="4">
        <v>2</v>
      </c>
      <c r="AE81" s="4">
        <v>3</v>
      </c>
      <c r="AF81" s="4">
        <v>4</v>
      </c>
      <c r="AG81" s="4">
        <v>2</v>
      </c>
      <c r="AH81" s="4">
        <v>0</v>
      </c>
      <c r="AI81" s="4">
        <v>2</v>
      </c>
      <c r="AJ81" s="4"/>
      <c r="AK81" s="4"/>
      <c r="AL81" s="4"/>
      <c r="AM81" s="4"/>
      <c r="AN81" s="4"/>
      <c r="AO81" s="4"/>
    </row>
    <row r="82" spans="1:41" x14ac:dyDescent="0.3">
      <c r="A82" s="4">
        <v>30</v>
      </c>
      <c r="B82" s="4" t="s">
        <v>43</v>
      </c>
      <c r="C82" s="4" t="s">
        <v>36</v>
      </c>
      <c r="D82" s="4">
        <v>852</v>
      </c>
      <c r="E82" s="4" t="s">
        <v>45</v>
      </c>
      <c r="F82" s="4">
        <v>1</v>
      </c>
      <c r="G82" s="4">
        <v>1</v>
      </c>
      <c r="H82" s="4" t="s">
        <v>38</v>
      </c>
      <c r="I82" s="4">
        <v>1</v>
      </c>
      <c r="J82" s="4">
        <v>104</v>
      </c>
      <c r="K82" s="4">
        <v>4</v>
      </c>
      <c r="L82" s="4" t="s">
        <v>46</v>
      </c>
      <c r="M82" s="4">
        <v>55</v>
      </c>
      <c r="N82" s="4">
        <v>2</v>
      </c>
      <c r="O82" s="4">
        <v>2</v>
      </c>
      <c r="P82" s="4" t="s">
        <v>50</v>
      </c>
      <c r="Q82" s="4">
        <v>4</v>
      </c>
      <c r="R82" s="4" t="s">
        <v>48</v>
      </c>
      <c r="S82" s="4">
        <v>5126</v>
      </c>
      <c r="T82" s="4">
        <v>15998</v>
      </c>
      <c r="U82" s="4">
        <v>1</v>
      </c>
      <c r="V82" s="4" t="s">
        <v>42</v>
      </c>
      <c r="W82" s="4" t="s">
        <v>35</v>
      </c>
      <c r="X82" s="4">
        <v>12</v>
      </c>
      <c r="Y82" s="4">
        <v>3</v>
      </c>
      <c r="Z82" s="4">
        <v>3</v>
      </c>
      <c r="AA82" s="4">
        <v>80</v>
      </c>
      <c r="AB82" s="4">
        <v>2</v>
      </c>
      <c r="AC82" s="4">
        <v>10</v>
      </c>
      <c r="AD82" s="4">
        <v>1</v>
      </c>
      <c r="AE82" s="4">
        <v>2</v>
      </c>
      <c r="AF82" s="4">
        <v>10</v>
      </c>
      <c r="AG82" s="4">
        <v>8</v>
      </c>
      <c r="AH82" s="4">
        <v>3</v>
      </c>
      <c r="AI82" s="4">
        <v>0</v>
      </c>
      <c r="AJ82" s="4"/>
      <c r="AK82" s="4"/>
      <c r="AL82" s="4"/>
      <c r="AM82" s="4"/>
      <c r="AN82" s="4"/>
      <c r="AO82" s="4"/>
    </row>
    <row r="83" spans="1:41" hidden="1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41" hidden="1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41" x14ac:dyDescent="0.3">
      <c r="A85" s="4">
        <v>38</v>
      </c>
      <c r="B85" s="4" t="s">
        <v>43</v>
      </c>
      <c r="C85" s="4" t="s">
        <v>55</v>
      </c>
      <c r="D85" s="4">
        <v>573</v>
      </c>
      <c r="E85" s="4" t="s">
        <v>45</v>
      </c>
      <c r="F85" s="4">
        <v>6</v>
      </c>
      <c r="G85" s="4">
        <v>3</v>
      </c>
      <c r="H85" s="4" t="s">
        <v>51</v>
      </c>
      <c r="I85" s="4">
        <v>1</v>
      </c>
      <c r="J85" s="4">
        <v>107</v>
      </c>
      <c r="K85" s="4">
        <v>2</v>
      </c>
      <c r="L85" s="4" t="s">
        <v>39</v>
      </c>
      <c r="M85" s="4">
        <v>79</v>
      </c>
      <c r="N85" s="4">
        <v>1</v>
      </c>
      <c r="O85" s="4">
        <v>2</v>
      </c>
      <c r="P85" s="4" t="s">
        <v>47</v>
      </c>
      <c r="Q85" s="4">
        <v>4</v>
      </c>
      <c r="R85" s="4" t="s">
        <v>52</v>
      </c>
      <c r="S85" s="4">
        <v>5329</v>
      </c>
      <c r="T85" s="4">
        <v>15717</v>
      </c>
      <c r="U85" s="4">
        <v>7</v>
      </c>
      <c r="V85" s="4" t="s">
        <v>42</v>
      </c>
      <c r="W85" s="4" t="s">
        <v>35</v>
      </c>
      <c r="X85" s="4">
        <v>12</v>
      </c>
      <c r="Y85" s="4">
        <v>3</v>
      </c>
      <c r="Z85" s="4">
        <v>4</v>
      </c>
      <c r="AA85" s="4">
        <v>80</v>
      </c>
      <c r="AB85" s="4">
        <v>3</v>
      </c>
      <c r="AC85" s="4">
        <v>17</v>
      </c>
      <c r="AD85" s="4">
        <v>3</v>
      </c>
      <c r="AE85" s="4">
        <v>3</v>
      </c>
      <c r="AF85" s="4">
        <v>13</v>
      </c>
      <c r="AG85" s="4">
        <v>11</v>
      </c>
      <c r="AH85" s="4">
        <v>1</v>
      </c>
      <c r="AI85" s="4">
        <v>9</v>
      </c>
      <c r="AJ85" s="4"/>
      <c r="AK85" s="4"/>
      <c r="AL85" s="4"/>
      <c r="AM85" s="4"/>
      <c r="AN85" s="4"/>
      <c r="AO85" s="4"/>
    </row>
    <row r="86" spans="1:41" hidden="1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41" hidden="1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41" hidden="1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41" hidden="1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41" hidden="1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41" hidden="1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41" hidden="1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41" x14ac:dyDescent="0.3">
      <c r="A93" s="4">
        <v>51</v>
      </c>
      <c r="B93" s="4" t="s">
        <v>43</v>
      </c>
      <c r="C93" s="4" t="s">
        <v>36</v>
      </c>
      <c r="D93" s="4">
        <v>632</v>
      </c>
      <c r="E93" s="4" t="s">
        <v>37</v>
      </c>
      <c r="F93" s="4">
        <v>21</v>
      </c>
      <c r="G93" s="4">
        <v>4</v>
      </c>
      <c r="H93" s="4" t="s">
        <v>59</v>
      </c>
      <c r="I93" s="4">
        <v>1</v>
      </c>
      <c r="J93" s="4">
        <v>120</v>
      </c>
      <c r="K93" s="4">
        <v>3</v>
      </c>
      <c r="L93" s="4" t="s">
        <v>46</v>
      </c>
      <c r="M93" s="4">
        <v>71</v>
      </c>
      <c r="N93" s="4">
        <v>3</v>
      </c>
      <c r="O93" s="4">
        <v>2</v>
      </c>
      <c r="P93" s="4" t="s">
        <v>40</v>
      </c>
      <c r="Q93" s="4">
        <v>4</v>
      </c>
      <c r="R93" s="4" t="s">
        <v>41</v>
      </c>
      <c r="S93" s="4">
        <v>5441</v>
      </c>
      <c r="T93" s="4">
        <v>8423</v>
      </c>
      <c r="U93" s="4">
        <v>0</v>
      </c>
      <c r="V93" s="4" t="s">
        <v>42</v>
      </c>
      <c r="W93" s="4" t="s">
        <v>35</v>
      </c>
      <c r="X93" s="4">
        <v>22</v>
      </c>
      <c r="Y93" s="4">
        <v>4</v>
      </c>
      <c r="Z93" s="4">
        <v>4</v>
      </c>
      <c r="AA93" s="4">
        <v>80</v>
      </c>
      <c r="AB93" s="4">
        <v>0</v>
      </c>
      <c r="AC93" s="4">
        <v>11</v>
      </c>
      <c r="AD93" s="4">
        <v>2</v>
      </c>
      <c r="AE93" s="4">
        <v>1</v>
      </c>
      <c r="AF93" s="4">
        <v>10</v>
      </c>
      <c r="AG93" s="4">
        <v>7</v>
      </c>
      <c r="AH93" s="4">
        <v>1</v>
      </c>
      <c r="AI93" s="4">
        <v>0</v>
      </c>
      <c r="AJ93" s="4"/>
      <c r="AK93" s="4"/>
      <c r="AL93" s="4"/>
      <c r="AM93" s="4"/>
      <c r="AN93" s="4"/>
      <c r="AO93" s="4"/>
    </row>
    <row r="94" spans="1:41" x14ac:dyDescent="0.3">
      <c r="A94" s="4">
        <v>30</v>
      </c>
      <c r="B94" s="4" t="s">
        <v>43</v>
      </c>
      <c r="C94" s="4" t="s">
        <v>36</v>
      </c>
      <c r="D94" s="4">
        <v>1334</v>
      </c>
      <c r="E94" s="4" t="s">
        <v>37</v>
      </c>
      <c r="F94" s="4">
        <v>4</v>
      </c>
      <c r="G94" s="4">
        <v>2</v>
      </c>
      <c r="H94" s="4" t="s">
        <v>51</v>
      </c>
      <c r="I94" s="4">
        <v>1</v>
      </c>
      <c r="J94" s="4">
        <v>121</v>
      </c>
      <c r="K94" s="4">
        <v>3</v>
      </c>
      <c r="L94" s="4" t="s">
        <v>39</v>
      </c>
      <c r="M94" s="4">
        <v>63</v>
      </c>
      <c r="N94" s="4">
        <v>2</v>
      </c>
      <c r="O94" s="4">
        <v>2</v>
      </c>
      <c r="P94" s="4" t="s">
        <v>40</v>
      </c>
      <c r="Q94" s="4">
        <v>2</v>
      </c>
      <c r="R94" s="4" t="s">
        <v>52</v>
      </c>
      <c r="S94" s="4">
        <v>5209</v>
      </c>
      <c r="T94" s="4">
        <v>19760</v>
      </c>
      <c r="U94" s="4">
        <v>1</v>
      </c>
      <c r="V94" s="4" t="s">
        <v>42</v>
      </c>
      <c r="W94" s="4" t="s">
        <v>35</v>
      </c>
      <c r="X94" s="4">
        <v>12</v>
      </c>
      <c r="Y94" s="4">
        <v>3</v>
      </c>
      <c r="Z94" s="4">
        <v>2</v>
      </c>
      <c r="AA94" s="4">
        <v>80</v>
      </c>
      <c r="AB94" s="4">
        <v>3</v>
      </c>
      <c r="AC94" s="4">
        <v>11</v>
      </c>
      <c r="AD94" s="4">
        <v>4</v>
      </c>
      <c r="AE94" s="4">
        <v>2</v>
      </c>
      <c r="AF94" s="4">
        <v>11</v>
      </c>
      <c r="AG94" s="4">
        <v>8</v>
      </c>
      <c r="AH94" s="4">
        <v>2</v>
      </c>
      <c r="AI94" s="4">
        <v>7</v>
      </c>
      <c r="AJ94" s="4"/>
      <c r="AK94" s="4"/>
      <c r="AL94" s="4"/>
      <c r="AM94" s="4"/>
      <c r="AN94" s="4"/>
      <c r="AO94" s="4"/>
    </row>
    <row r="95" spans="1:41" x14ac:dyDescent="0.3">
      <c r="A95" s="4">
        <v>46</v>
      </c>
      <c r="B95" s="4" t="s">
        <v>43</v>
      </c>
      <c r="C95" s="4" t="s">
        <v>44</v>
      </c>
      <c r="D95" s="4">
        <v>638</v>
      </c>
      <c r="E95" s="4" t="s">
        <v>45</v>
      </c>
      <c r="F95" s="4">
        <v>1</v>
      </c>
      <c r="G95" s="4">
        <v>3</v>
      </c>
      <c r="H95" s="4" t="s">
        <v>51</v>
      </c>
      <c r="I95" s="4">
        <v>1</v>
      </c>
      <c r="J95" s="4">
        <v>124</v>
      </c>
      <c r="K95" s="4">
        <v>3</v>
      </c>
      <c r="L95" s="4" t="s">
        <v>46</v>
      </c>
      <c r="M95" s="4">
        <v>40</v>
      </c>
      <c r="N95" s="4">
        <v>2</v>
      </c>
      <c r="O95" s="4">
        <v>3</v>
      </c>
      <c r="P95" s="4" t="s">
        <v>54</v>
      </c>
      <c r="Q95" s="4">
        <v>1</v>
      </c>
      <c r="R95" s="4" t="s">
        <v>48</v>
      </c>
      <c r="S95" s="4">
        <v>10673</v>
      </c>
      <c r="T95" s="4">
        <v>3142</v>
      </c>
      <c r="U95" s="4">
        <v>2</v>
      </c>
      <c r="V95" s="4" t="s">
        <v>42</v>
      </c>
      <c r="W95" s="4" t="s">
        <v>35</v>
      </c>
      <c r="X95" s="4">
        <v>13</v>
      </c>
      <c r="Y95" s="4">
        <v>3</v>
      </c>
      <c r="Z95" s="4">
        <v>3</v>
      </c>
      <c r="AA95" s="4">
        <v>80</v>
      </c>
      <c r="AB95" s="4">
        <v>1</v>
      </c>
      <c r="AC95" s="4">
        <v>21</v>
      </c>
      <c r="AD95" s="4">
        <v>5</v>
      </c>
      <c r="AE95" s="4">
        <v>2</v>
      </c>
      <c r="AF95" s="4">
        <v>10</v>
      </c>
      <c r="AG95" s="4">
        <v>9</v>
      </c>
      <c r="AH95" s="4">
        <v>9</v>
      </c>
      <c r="AI95" s="4">
        <v>5</v>
      </c>
      <c r="AJ95" s="4"/>
      <c r="AK95" s="4"/>
      <c r="AL95" s="4"/>
      <c r="AM95" s="4"/>
      <c r="AN95" s="4"/>
      <c r="AO95" s="4"/>
    </row>
    <row r="96" spans="1:41" hidden="1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41" hidden="1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41" hidden="1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41" hidden="1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41" hidden="1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41" hidden="1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41" x14ac:dyDescent="0.3">
      <c r="A102" s="4">
        <v>37</v>
      </c>
      <c r="B102" s="4" t="s">
        <v>35</v>
      </c>
      <c r="C102" s="4" t="s">
        <v>36</v>
      </c>
      <c r="D102" s="4">
        <v>807</v>
      </c>
      <c r="E102" s="4" t="s">
        <v>61</v>
      </c>
      <c r="F102" s="4">
        <v>6</v>
      </c>
      <c r="G102" s="4">
        <v>4</v>
      </c>
      <c r="H102" s="4" t="s">
        <v>61</v>
      </c>
      <c r="I102" s="4">
        <v>1</v>
      </c>
      <c r="J102" s="4">
        <v>133</v>
      </c>
      <c r="K102" s="4">
        <v>3</v>
      </c>
      <c r="L102" s="4" t="s">
        <v>46</v>
      </c>
      <c r="M102" s="4">
        <v>63</v>
      </c>
      <c r="N102" s="4">
        <v>3</v>
      </c>
      <c r="O102" s="4">
        <v>1</v>
      </c>
      <c r="P102" s="4" t="s">
        <v>61</v>
      </c>
      <c r="Q102" s="4">
        <v>1</v>
      </c>
      <c r="R102" s="4" t="s">
        <v>52</v>
      </c>
      <c r="S102" s="4">
        <v>2073</v>
      </c>
      <c r="T102" s="4">
        <v>23648</v>
      </c>
      <c r="U102" s="4">
        <v>4</v>
      </c>
      <c r="V102" s="4" t="s">
        <v>42</v>
      </c>
      <c r="W102" s="4" t="s">
        <v>35</v>
      </c>
      <c r="X102" s="4">
        <v>22</v>
      </c>
      <c r="Y102" s="4">
        <v>4</v>
      </c>
      <c r="Z102" s="4">
        <v>4</v>
      </c>
      <c r="AA102" s="4">
        <v>80</v>
      </c>
      <c r="AB102" s="4">
        <v>0</v>
      </c>
      <c r="AC102" s="4">
        <v>7</v>
      </c>
      <c r="AD102" s="4">
        <v>3</v>
      </c>
      <c r="AE102" s="4">
        <v>3</v>
      </c>
      <c r="AF102" s="4">
        <v>3</v>
      </c>
      <c r="AG102" s="4">
        <v>2</v>
      </c>
      <c r="AH102" s="4">
        <v>0</v>
      </c>
      <c r="AI102" s="4">
        <v>2</v>
      </c>
      <c r="AJ102" s="4"/>
      <c r="AK102" s="4"/>
      <c r="AL102" s="4"/>
      <c r="AM102" s="4"/>
      <c r="AN102" s="4"/>
      <c r="AO102" s="4"/>
    </row>
    <row r="103" spans="1:41" hidden="1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41" x14ac:dyDescent="0.3">
      <c r="A104" s="4">
        <v>20</v>
      </c>
      <c r="B104" s="4" t="s">
        <v>35</v>
      </c>
      <c r="C104" s="4" t="s">
        <v>44</v>
      </c>
      <c r="D104" s="4">
        <v>871</v>
      </c>
      <c r="E104" s="4" t="s">
        <v>45</v>
      </c>
      <c r="F104" s="4">
        <v>6</v>
      </c>
      <c r="G104" s="4">
        <v>3</v>
      </c>
      <c r="H104" s="4" t="s">
        <v>38</v>
      </c>
      <c r="I104" s="4">
        <v>1</v>
      </c>
      <c r="J104" s="4">
        <v>137</v>
      </c>
      <c r="K104" s="4">
        <v>4</v>
      </c>
      <c r="L104" s="4" t="s">
        <v>39</v>
      </c>
      <c r="M104" s="4">
        <v>66</v>
      </c>
      <c r="N104" s="4">
        <v>2</v>
      </c>
      <c r="O104" s="4">
        <v>1</v>
      </c>
      <c r="P104" s="4" t="s">
        <v>50</v>
      </c>
      <c r="Q104" s="4">
        <v>4</v>
      </c>
      <c r="R104" s="4" t="s">
        <v>41</v>
      </c>
      <c r="S104" s="4">
        <v>2926</v>
      </c>
      <c r="T104" s="4">
        <v>19783</v>
      </c>
      <c r="U104" s="4">
        <v>1</v>
      </c>
      <c r="V104" s="4" t="s">
        <v>42</v>
      </c>
      <c r="W104" s="4" t="s">
        <v>35</v>
      </c>
      <c r="X104" s="4">
        <v>18</v>
      </c>
      <c r="Y104" s="4">
        <v>3</v>
      </c>
      <c r="Z104" s="4">
        <v>2</v>
      </c>
      <c r="AA104" s="4">
        <v>80</v>
      </c>
      <c r="AB104" s="4">
        <v>0</v>
      </c>
      <c r="AC104" s="4">
        <v>1</v>
      </c>
      <c r="AD104" s="4">
        <v>5</v>
      </c>
      <c r="AE104" s="4">
        <v>3</v>
      </c>
      <c r="AF104" s="4">
        <v>1</v>
      </c>
      <c r="AG104" s="4">
        <v>0</v>
      </c>
      <c r="AH104" s="4">
        <v>1</v>
      </c>
      <c r="AI104" s="4">
        <v>0</v>
      </c>
      <c r="AJ104" s="4"/>
      <c r="AK104" s="4"/>
      <c r="AL104" s="4"/>
      <c r="AM104" s="4"/>
      <c r="AN104" s="4"/>
      <c r="AO104" s="4"/>
    </row>
    <row r="105" spans="1:41" hidden="1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41" hidden="1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41" hidden="1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41" x14ac:dyDescent="0.3">
      <c r="A108" s="4">
        <v>50</v>
      </c>
      <c r="B108" s="4" t="s">
        <v>43</v>
      </c>
      <c r="C108" s="4" t="s">
        <v>44</v>
      </c>
      <c r="D108" s="4">
        <v>1115</v>
      </c>
      <c r="E108" s="4" t="s">
        <v>45</v>
      </c>
      <c r="F108" s="4">
        <v>1</v>
      </c>
      <c r="G108" s="4">
        <v>3</v>
      </c>
      <c r="H108" s="4" t="s">
        <v>38</v>
      </c>
      <c r="I108" s="4">
        <v>1</v>
      </c>
      <c r="J108" s="4">
        <v>141</v>
      </c>
      <c r="K108" s="4">
        <v>1</v>
      </c>
      <c r="L108" s="4" t="s">
        <v>39</v>
      </c>
      <c r="M108" s="4">
        <v>73</v>
      </c>
      <c r="N108" s="4">
        <v>3</v>
      </c>
      <c r="O108" s="4">
        <v>5</v>
      </c>
      <c r="P108" s="4" t="s">
        <v>58</v>
      </c>
      <c r="Q108" s="4">
        <v>2</v>
      </c>
      <c r="R108" s="4" t="s">
        <v>48</v>
      </c>
      <c r="S108" s="4">
        <v>18172</v>
      </c>
      <c r="T108" s="4">
        <v>9755</v>
      </c>
      <c r="U108" s="4">
        <v>3</v>
      </c>
      <c r="V108" s="4" t="s">
        <v>42</v>
      </c>
      <c r="W108" s="4" t="s">
        <v>35</v>
      </c>
      <c r="X108" s="4">
        <v>19</v>
      </c>
      <c r="Y108" s="4">
        <v>3</v>
      </c>
      <c r="Z108" s="4">
        <v>1</v>
      </c>
      <c r="AA108" s="4">
        <v>80</v>
      </c>
      <c r="AB108" s="4">
        <v>0</v>
      </c>
      <c r="AC108" s="4">
        <v>28</v>
      </c>
      <c r="AD108" s="4">
        <v>1</v>
      </c>
      <c r="AE108" s="4">
        <v>2</v>
      </c>
      <c r="AF108" s="4">
        <v>8</v>
      </c>
      <c r="AG108" s="4">
        <v>3</v>
      </c>
      <c r="AH108" s="4">
        <v>0</v>
      </c>
      <c r="AI108" s="4">
        <v>7</v>
      </c>
      <c r="AJ108" s="4"/>
      <c r="AK108" s="4"/>
      <c r="AL108" s="4"/>
      <c r="AM108" s="4"/>
      <c r="AN108" s="4"/>
      <c r="AO108" s="4"/>
    </row>
    <row r="109" spans="1:41" x14ac:dyDescent="0.3">
      <c r="A109" s="4">
        <v>25</v>
      </c>
      <c r="B109" s="4" t="s">
        <v>35</v>
      </c>
      <c r="C109" s="4" t="s">
        <v>36</v>
      </c>
      <c r="D109" s="4">
        <v>240</v>
      </c>
      <c r="E109" s="4" t="s">
        <v>37</v>
      </c>
      <c r="F109" s="4">
        <v>5</v>
      </c>
      <c r="G109" s="4">
        <v>3</v>
      </c>
      <c r="H109" s="4" t="s">
        <v>59</v>
      </c>
      <c r="I109" s="4">
        <v>1</v>
      </c>
      <c r="J109" s="4">
        <v>142</v>
      </c>
      <c r="K109" s="4">
        <v>3</v>
      </c>
      <c r="L109" s="4" t="s">
        <v>46</v>
      </c>
      <c r="M109" s="4">
        <v>46</v>
      </c>
      <c r="N109" s="4">
        <v>2</v>
      </c>
      <c r="O109" s="4">
        <v>2</v>
      </c>
      <c r="P109" s="4" t="s">
        <v>40</v>
      </c>
      <c r="Q109" s="4">
        <v>3</v>
      </c>
      <c r="R109" s="4" t="s">
        <v>41</v>
      </c>
      <c r="S109" s="4">
        <v>5744</v>
      </c>
      <c r="T109" s="4">
        <v>26959</v>
      </c>
      <c r="U109" s="4">
        <v>1</v>
      </c>
      <c r="V109" s="4" t="s">
        <v>42</v>
      </c>
      <c r="W109" s="4" t="s">
        <v>35</v>
      </c>
      <c r="X109" s="4">
        <v>11</v>
      </c>
      <c r="Y109" s="4">
        <v>3</v>
      </c>
      <c r="Z109" s="4">
        <v>4</v>
      </c>
      <c r="AA109" s="4">
        <v>80</v>
      </c>
      <c r="AB109" s="4">
        <v>0</v>
      </c>
      <c r="AC109" s="4">
        <v>6</v>
      </c>
      <c r="AD109" s="4">
        <v>1</v>
      </c>
      <c r="AE109" s="4">
        <v>3</v>
      </c>
      <c r="AF109" s="4">
        <v>6</v>
      </c>
      <c r="AG109" s="4">
        <v>4</v>
      </c>
      <c r="AH109" s="4">
        <v>0</v>
      </c>
      <c r="AI109" s="4">
        <v>3</v>
      </c>
      <c r="AJ109" s="4"/>
      <c r="AK109" s="4"/>
      <c r="AL109" s="4"/>
      <c r="AM109" s="4"/>
      <c r="AN109" s="4"/>
      <c r="AO109" s="4"/>
    </row>
    <row r="110" spans="1:41" hidden="1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41" hidden="1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41" hidden="1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41" x14ac:dyDescent="0.3">
      <c r="A113" s="4">
        <v>34</v>
      </c>
      <c r="B113" s="4" t="s">
        <v>35</v>
      </c>
      <c r="C113" s="4" t="s">
        <v>44</v>
      </c>
      <c r="D113" s="4">
        <v>658</v>
      </c>
      <c r="E113" s="4" t="s">
        <v>45</v>
      </c>
      <c r="F113" s="4">
        <v>7</v>
      </c>
      <c r="G113" s="4">
        <v>3</v>
      </c>
      <c r="H113" s="4" t="s">
        <v>38</v>
      </c>
      <c r="I113" s="4">
        <v>1</v>
      </c>
      <c r="J113" s="4">
        <v>147</v>
      </c>
      <c r="K113" s="4">
        <v>1</v>
      </c>
      <c r="L113" s="4" t="s">
        <v>46</v>
      </c>
      <c r="M113" s="4">
        <v>66</v>
      </c>
      <c r="N113" s="4">
        <v>1</v>
      </c>
      <c r="O113" s="4">
        <v>2</v>
      </c>
      <c r="P113" s="4" t="s">
        <v>50</v>
      </c>
      <c r="Q113" s="4">
        <v>3</v>
      </c>
      <c r="R113" s="4" t="s">
        <v>41</v>
      </c>
      <c r="S113" s="4">
        <v>6074</v>
      </c>
      <c r="T113" s="4">
        <v>22887</v>
      </c>
      <c r="U113" s="4">
        <v>1</v>
      </c>
      <c r="V113" s="4" t="s">
        <v>42</v>
      </c>
      <c r="W113" s="4" t="s">
        <v>35</v>
      </c>
      <c r="X113" s="4">
        <v>24</v>
      </c>
      <c r="Y113" s="4">
        <v>4</v>
      </c>
      <c r="Z113" s="4">
        <v>4</v>
      </c>
      <c r="AA113" s="4">
        <v>80</v>
      </c>
      <c r="AB113" s="4">
        <v>0</v>
      </c>
      <c r="AC113" s="4">
        <v>9</v>
      </c>
      <c r="AD113" s="4">
        <v>3</v>
      </c>
      <c r="AE113" s="4">
        <v>3</v>
      </c>
      <c r="AF113" s="4">
        <v>9</v>
      </c>
      <c r="AG113" s="4">
        <v>7</v>
      </c>
      <c r="AH113" s="4">
        <v>0</v>
      </c>
      <c r="AI113" s="4">
        <v>6</v>
      </c>
      <c r="AJ113" s="4"/>
      <c r="AK113" s="4"/>
      <c r="AL113" s="4"/>
      <c r="AM113" s="4"/>
      <c r="AN113" s="4"/>
      <c r="AO113" s="4"/>
    </row>
    <row r="114" spans="1:41" x14ac:dyDescent="0.3">
      <c r="A114" s="4">
        <v>54</v>
      </c>
      <c r="B114" s="4" t="s">
        <v>43</v>
      </c>
      <c r="C114" s="4" t="s">
        <v>55</v>
      </c>
      <c r="D114" s="4">
        <v>142</v>
      </c>
      <c r="E114" s="4" t="s">
        <v>61</v>
      </c>
      <c r="F114" s="4">
        <v>26</v>
      </c>
      <c r="G114" s="4">
        <v>3</v>
      </c>
      <c r="H114" s="4" t="s">
        <v>61</v>
      </c>
      <c r="I114" s="4">
        <v>1</v>
      </c>
      <c r="J114" s="4">
        <v>148</v>
      </c>
      <c r="K114" s="4">
        <v>4</v>
      </c>
      <c r="L114" s="4" t="s">
        <v>39</v>
      </c>
      <c r="M114" s="4">
        <v>30</v>
      </c>
      <c r="N114" s="4">
        <v>4</v>
      </c>
      <c r="O114" s="4">
        <v>4</v>
      </c>
      <c r="P114" s="4" t="s">
        <v>56</v>
      </c>
      <c r="Q114" s="4">
        <v>4</v>
      </c>
      <c r="R114" s="4" t="s">
        <v>41</v>
      </c>
      <c r="S114" s="4">
        <v>17328</v>
      </c>
      <c r="T114" s="4">
        <v>13871</v>
      </c>
      <c r="U114" s="4">
        <v>2</v>
      </c>
      <c r="V114" s="4" t="s">
        <v>42</v>
      </c>
      <c r="W114" s="4" t="s">
        <v>35</v>
      </c>
      <c r="X114" s="4">
        <v>12</v>
      </c>
      <c r="Y114" s="4">
        <v>3</v>
      </c>
      <c r="Z114" s="4">
        <v>3</v>
      </c>
      <c r="AA114" s="4">
        <v>80</v>
      </c>
      <c r="AB114" s="4">
        <v>0</v>
      </c>
      <c r="AC114" s="4">
        <v>23</v>
      </c>
      <c r="AD114" s="4">
        <v>3</v>
      </c>
      <c r="AE114" s="4">
        <v>3</v>
      </c>
      <c r="AF114" s="4">
        <v>5</v>
      </c>
      <c r="AG114" s="4">
        <v>3</v>
      </c>
      <c r="AH114" s="4">
        <v>4</v>
      </c>
      <c r="AI114" s="4">
        <v>4</v>
      </c>
      <c r="AJ114" s="4"/>
      <c r="AK114" s="4"/>
      <c r="AL114" s="4"/>
      <c r="AM114" s="4"/>
      <c r="AN114" s="4"/>
      <c r="AO114" s="4"/>
    </row>
    <row r="115" spans="1:41" hidden="1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41" hidden="1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41" hidden="1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41" hidden="1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41" hidden="1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41" hidden="1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41" x14ac:dyDescent="0.3">
      <c r="A121" s="4">
        <v>43</v>
      </c>
      <c r="B121" s="4" t="s">
        <v>43</v>
      </c>
      <c r="C121" s="4" t="s">
        <v>44</v>
      </c>
      <c r="D121" s="4">
        <v>394</v>
      </c>
      <c r="E121" s="4" t="s">
        <v>37</v>
      </c>
      <c r="F121" s="4">
        <v>26</v>
      </c>
      <c r="G121" s="4">
        <v>2</v>
      </c>
      <c r="H121" s="4" t="s">
        <v>38</v>
      </c>
      <c r="I121" s="4">
        <v>1</v>
      </c>
      <c r="J121" s="4">
        <v>158</v>
      </c>
      <c r="K121" s="4">
        <v>3</v>
      </c>
      <c r="L121" s="4" t="s">
        <v>46</v>
      </c>
      <c r="M121" s="4">
        <v>92</v>
      </c>
      <c r="N121" s="4">
        <v>3</v>
      </c>
      <c r="O121" s="4">
        <v>4</v>
      </c>
      <c r="P121" s="4" t="s">
        <v>56</v>
      </c>
      <c r="Q121" s="4">
        <v>4</v>
      </c>
      <c r="R121" s="4" t="s">
        <v>48</v>
      </c>
      <c r="S121" s="4">
        <v>16959</v>
      </c>
      <c r="T121" s="4">
        <v>19494</v>
      </c>
      <c r="U121" s="4">
        <v>1</v>
      </c>
      <c r="V121" s="4" t="s">
        <v>42</v>
      </c>
      <c r="W121" s="4" t="s">
        <v>35</v>
      </c>
      <c r="X121" s="4">
        <v>12</v>
      </c>
      <c r="Y121" s="4">
        <v>3</v>
      </c>
      <c r="Z121" s="4">
        <v>4</v>
      </c>
      <c r="AA121" s="4">
        <v>80</v>
      </c>
      <c r="AB121" s="4">
        <v>2</v>
      </c>
      <c r="AC121" s="4">
        <v>25</v>
      </c>
      <c r="AD121" s="4">
        <v>3</v>
      </c>
      <c r="AE121" s="4">
        <v>4</v>
      </c>
      <c r="AF121" s="4">
        <v>25</v>
      </c>
      <c r="AG121" s="4">
        <v>12</v>
      </c>
      <c r="AH121" s="4">
        <v>4</v>
      </c>
      <c r="AI121" s="4">
        <v>12</v>
      </c>
      <c r="AJ121" s="4"/>
      <c r="AK121" s="4"/>
      <c r="AL121" s="4"/>
      <c r="AM121" s="4"/>
      <c r="AN121" s="4"/>
      <c r="AO121" s="4"/>
    </row>
    <row r="122" spans="1:41" hidden="1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41" hidden="1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41" x14ac:dyDescent="0.3">
      <c r="A124" s="4">
        <v>56</v>
      </c>
      <c r="B124" s="4" t="s">
        <v>35</v>
      </c>
      <c r="C124" s="4" t="s">
        <v>36</v>
      </c>
      <c r="D124" s="4">
        <v>441</v>
      </c>
      <c r="E124" s="4" t="s">
        <v>45</v>
      </c>
      <c r="F124" s="4">
        <v>14</v>
      </c>
      <c r="G124" s="4">
        <v>4</v>
      </c>
      <c r="H124" s="4" t="s">
        <v>38</v>
      </c>
      <c r="I124" s="4">
        <v>1</v>
      </c>
      <c r="J124" s="4">
        <v>161</v>
      </c>
      <c r="K124" s="4">
        <v>2</v>
      </c>
      <c r="L124" s="4" t="s">
        <v>39</v>
      </c>
      <c r="M124" s="4">
        <v>72</v>
      </c>
      <c r="N124" s="4">
        <v>3</v>
      </c>
      <c r="O124" s="4">
        <v>1</v>
      </c>
      <c r="P124" s="4" t="s">
        <v>47</v>
      </c>
      <c r="Q124" s="4">
        <v>2</v>
      </c>
      <c r="R124" s="4" t="s">
        <v>48</v>
      </c>
      <c r="S124" s="4">
        <v>4963</v>
      </c>
      <c r="T124" s="4">
        <v>4510</v>
      </c>
      <c r="U124" s="4">
        <v>9</v>
      </c>
      <c r="V124" s="4" t="s">
        <v>42</v>
      </c>
      <c r="W124" s="4" t="s">
        <v>35</v>
      </c>
      <c r="X124" s="4">
        <v>18</v>
      </c>
      <c r="Y124" s="4">
        <v>3</v>
      </c>
      <c r="Z124" s="4">
        <v>1</v>
      </c>
      <c r="AA124" s="4">
        <v>80</v>
      </c>
      <c r="AB124" s="4">
        <v>3</v>
      </c>
      <c r="AC124" s="4">
        <v>7</v>
      </c>
      <c r="AD124" s="4">
        <v>2</v>
      </c>
      <c r="AE124" s="4">
        <v>3</v>
      </c>
      <c r="AF124" s="4">
        <v>5</v>
      </c>
      <c r="AG124" s="4">
        <v>4</v>
      </c>
      <c r="AH124" s="4">
        <v>4</v>
      </c>
      <c r="AI124" s="4">
        <v>3</v>
      </c>
      <c r="AJ124" s="4"/>
      <c r="AK124" s="4"/>
      <c r="AL124" s="4"/>
      <c r="AM124" s="4"/>
      <c r="AN124" s="4"/>
      <c r="AO124" s="4"/>
    </row>
    <row r="125" spans="1:41" hidden="1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41" x14ac:dyDescent="0.3">
      <c r="A126" s="4">
        <v>31</v>
      </c>
      <c r="B126" s="4" t="s">
        <v>35</v>
      </c>
      <c r="C126" s="4" t="s">
        <v>36</v>
      </c>
      <c r="D126" s="4">
        <v>249</v>
      </c>
      <c r="E126" s="4" t="s">
        <v>37</v>
      </c>
      <c r="F126" s="4">
        <v>6</v>
      </c>
      <c r="G126" s="4">
        <v>4</v>
      </c>
      <c r="H126" s="4" t="s">
        <v>38</v>
      </c>
      <c r="I126" s="4">
        <v>1</v>
      </c>
      <c r="J126" s="4">
        <v>163</v>
      </c>
      <c r="K126" s="4">
        <v>2</v>
      </c>
      <c r="L126" s="4" t="s">
        <v>46</v>
      </c>
      <c r="M126" s="4">
        <v>76</v>
      </c>
      <c r="N126" s="4">
        <v>1</v>
      </c>
      <c r="O126" s="4">
        <v>2</v>
      </c>
      <c r="P126" s="4" t="s">
        <v>40</v>
      </c>
      <c r="Q126" s="4">
        <v>3</v>
      </c>
      <c r="R126" s="4" t="s">
        <v>48</v>
      </c>
      <c r="S126" s="4">
        <v>6172</v>
      </c>
      <c r="T126" s="4">
        <v>20739</v>
      </c>
      <c r="U126" s="4">
        <v>4</v>
      </c>
      <c r="V126" s="4" t="s">
        <v>42</v>
      </c>
      <c r="W126" s="4" t="s">
        <v>35</v>
      </c>
      <c r="X126" s="4">
        <v>18</v>
      </c>
      <c r="Y126" s="4">
        <v>3</v>
      </c>
      <c r="Z126" s="4">
        <v>2</v>
      </c>
      <c r="AA126" s="4">
        <v>80</v>
      </c>
      <c r="AB126" s="4">
        <v>0</v>
      </c>
      <c r="AC126" s="4">
        <v>12</v>
      </c>
      <c r="AD126" s="4">
        <v>3</v>
      </c>
      <c r="AE126" s="4">
        <v>2</v>
      </c>
      <c r="AF126" s="4">
        <v>7</v>
      </c>
      <c r="AG126" s="4">
        <v>7</v>
      </c>
      <c r="AH126" s="4">
        <v>7</v>
      </c>
      <c r="AI126" s="4">
        <v>7</v>
      </c>
      <c r="AJ126" s="4"/>
      <c r="AK126" s="4"/>
      <c r="AL126" s="4"/>
      <c r="AM126" s="4"/>
      <c r="AN126" s="4"/>
      <c r="AO126" s="4"/>
    </row>
    <row r="127" spans="1:41" hidden="1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41" hidden="1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41" x14ac:dyDescent="0.3">
      <c r="A129" s="4">
        <v>19</v>
      </c>
      <c r="B129" s="4" t="s">
        <v>35</v>
      </c>
      <c r="C129" s="4" t="s">
        <v>36</v>
      </c>
      <c r="D129" s="4">
        <v>528</v>
      </c>
      <c r="E129" s="4" t="s">
        <v>37</v>
      </c>
      <c r="F129" s="4">
        <v>22</v>
      </c>
      <c r="G129" s="4">
        <v>1</v>
      </c>
      <c r="H129" s="4" t="s">
        <v>59</v>
      </c>
      <c r="I129" s="4">
        <v>1</v>
      </c>
      <c r="J129" s="4">
        <v>167</v>
      </c>
      <c r="K129" s="4">
        <v>4</v>
      </c>
      <c r="L129" s="4" t="s">
        <v>46</v>
      </c>
      <c r="M129" s="4">
        <v>50</v>
      </c>
      <c r="N129" s="4">
        <v>3</v>
      </c>
      <c r="O129" s="4">
        <v>1</v>
      </c>
      <c r="P129" s="4" t="s">
        <v>57</v>
      </c>
      <c r="Q129" s="4">
        <v>3</v>
      </c>
      <c r="R129" s="4" t="s">
        <v>41</v>
      </c>
      <c r="S129" s="4">
        <v>1675</v>
      </c>
      <c r="T129" s="4">
        <v>26820</v>
      </c>
      <c r="U129" s="4">
        <v>1</v>
      </c>
      <c r="V129" s="4" t="s">
        <v>42</v>
      </c>
      <c r="W129" s="4" t="s">
        <v>35</v>
      </c>
      <c r="X129" s="4">
        <v>19</v>
      </c>
      <c r="Y129" s="4">
        <v>3</v>
      </c>
      <c r="Z129" s="4">
        <v>4</v>
      </c>
      <c r="AA129" s="4">
        <v>80</v>
      </c>
      <c r="AB129" s="4">
        <v>0</v>
      </c>
      <c r="AC129" s="4">
        <v>0</v>
      </c>
      <c r="AD129" s="4">
        <v>2</v>
      </c>
      <c r="AE129" s="4">
        <v>2</v>
      </c>
      <c r="AF129" s="4">
        <v>0</v>
      </c>
      <c r="AG129" s="4">
        <v>0</v>
      </c>
      <c r="AH129" s="4">
        <v>0</v>
      </c>
      <c r="AI129" s="4">
        <v>0</v>
      </c>
      <c r="AJ129" s="4"/>
      <c r="AK129" s="4"/>
      <c r="AL129" s="4"/>
      <c r="AM129" s="4"/>
      <c r="AN129" s="4"/>
      <c r="AO129" s="4"/>
    </row>
    <row r="130" spans="1:41" hidden="1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41" hidden="1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41" hidden="1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41" hidden="1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41" x14ac:dyDescent="0.3">
      <c r="A134" s="4">
        <v>31</v>
      </c>
      <c r="B134" s="4" t="s">
        <v>35</v>
      </c>
      <c r="C134" s="4" t="s">
        <v>36</v>
      </c>
      <c r="D134" s="4">
        <v>542</v>
      </c>
      <c r="E134" s="4" t="s">
        <v>37</v>
      </c>
      <c r="F134" s="4">
        <v>20</v>
      </c>
      <c r="G134" s="4">
        <v>3</v>
      </c>
      <c r="H134" s="4" t="s">
        <v>38</v>
      </c>
      <c r="I134" s="4">
        <v>1</v>
      </c>
      <c r="J134" s="4">
        <v>175</v>
      </c>
      <c r="K134" s="4">
        <v>2</v>
      </c>
      <c r="L134" s="4" t="s">
        <v>39</v>
      </c>
      <c r="M134" s="4">
        <v>71</v>
      </c>
      <c r="N134" s="4">
        <v>1</v>
      </c>
      <c r="O134" s="4">
        <v>2</v>
      </c>
      <c r="P134" s="4" t="s">
        <v>40</v>
      </c>
      <c r="Q134" s="4">
        <v>3</v>
      </c>
      <c r="R134" s="4" t="s">
        <v>48</v>
      </c>
      <c r="S134" s="4">
        <v>4559</v>
      </c>
      <c r="T134" s="4">
        <v>24788</v>
      </c>
      <c r="U134" s="4">
        <v>3</v>
      </c>
      <c r="V134" s="4" t="s">
        <v>42</v>
      </c>
      <c r="W134" s="4" t="s">
        <v>35</v>
      </c>
      <c r="X134" s="4">
        <v>11</v>
      </c>
      <c r="Y134" s="4">
        <v>3</v>
      </c>
      <c r="Z134" s="4">
        <v>3</v>
      </c>
      <c r="AA134" s="4">
        <v>80</v>
      </c>
      <c r="AB134" s="4">
        <v>1</v>
      </c>
      <c r="AC134" s="4">
        <v>4</v>
      </c>
      <c r="AD134" s="4">
        <v>2</v>
      </c>
      <c r="AE134" s="4">
        <v>3</v>
      </c>
      <c r="AF134" s="4">
        <v>2</v>
      </c>
      <c r="AG134" s="4">
        <v>2</v>
      </c>
      <c r="AH134" s="4">
        <v>2</v>
      </c>
      <c r="AI134" s="4">
        <v>2</v>
      </c>
      <c r="AJ134" s="4"/>
      <c r="AK134" s="4"/>
      <c r="AL134" s="4"/>
      <c r="AM134" s="4"/>
      <c r="AN134" s="4"/>
      <c r="AO134" s="4"/>
    </row>
    <row r="135" spans="1:41" x14ac:dyDescent="0.3">
      <c r="A135" s="4">
        <v>41</v>
      </c>
      <c r="B135" s="4" t="s">
        <v>43</v>
      </c>
      <c r="C135" s="4" t="s">
        <v>36</v>
      </c>
      <c r="D135" s="4">
        <v>802</v>
      </c>
      <c r="E135" s="4" t="s">
        <v>37</v>
      </c>
      <c r="F135" s="4">
        <v>9</v>
      </c>
      <c r="G135" s="4">
        <v>1</v>
      </c>
      <c r="H135" s="4" t="s">
        <v>38</v>
      </c>
      <c r="I135" s="4">
        <v>1</v>
      </c>
      <c r="J135" s="4">
        <v>176</v>
      </c>
      <c r="K135" s="4">
        <v>3</v>
      </c>
      <c r="L135" s="4" t="s">
        <v>46</v>
      </c>
      <c r="M135" s="4">
        <v>96</v>
      </c>
      <c r="N135" s="4">
        <v>3</v>
      </c>
      <c r="O135" s="4">
        <v>3</v>
      </c>
      <c r="P135" s="4" t="s">
        <v>40</v>
      </c>
      <c r="Q135" s="4">
        <v>3</v>
      </c>
      <c r="R135" s="4" t="s">
        <v>52</v>
      </c>
      <c r="S135" s="4">
        <v>8189</v>
      </c>
      <c r="T135" s="4">
        <v>21196</v>
      </c>
      <c r="U135" s="4">
        <v>3</v>
      </c>
      <c r="V135" s="4" t="s">
        <v>42</v>
      </c>
      <c r="W135" s="4" t="s">
        <v>35</v>
      </c>
      <c r="X135" s="4">
        <v>13</v>
      </c>
      <c r="Y135" s="4">
        <v>3</v>
      </c>
      <c r="Z135" s="4">
        <v>3</v>
      </c>
      <c r="AA135" s="4">
        <v>80</v>
      </c>
      <c r="AB135" s="4">
        <v>1</v>
      </c>
      <c r="AC135" s="4">
        <v>12</v>
      </c>
      <c r="AD135" s="4">
        <v>2</v>
      </c>
      <c r="AE135" s="4">
        <v>3</v>
      </c>
      <c r="AF135" s="4">
        <v>9</v>
      </c>
      <c r="AG135" s="4">
        <v>7</v>
      </c>
      <c r="AH135" s="4">
        <v>0</v>
      </c>
      <c r="AI135" s="4">
        <v>7</v>
      </c>
      <c r="AJ135" s="4"/>
      <c r="AK135" s="4"/>
      <c r="AL135" s="4"/>
      <c r="AM135" s="4"/>
      <c r="AN135" s="4"/>
      <c r="AO135" s="4"/>
    </row>
    <row r="136" spans="1:41" hidden="1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41" hidden="1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41" hidden="1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41" hidden="1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41" hidden="1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41" x14ac:dyDescent="0.3">
      <c r="A141" s="4">
        <v>30</v>
      </c>
      <c r="B141" s="4" t="s">
        <v>43</v>
      </c>
      <c r="C141" s="4" t="s">
        <v>36</v>
      </c>
      <c r="D141" s="4">
        <v>1240</v>
      </c>
      <c r="E141" s="4" t="s">
        <v>61</v>
      </c>
      <c r="F141" s="4">
        <v>9</v>
      </c>
      <c r="G141" s="4">
        <v>3</v>
      </c>
      <c r="H141" s="4" t="s">
        <v>61</v>
      </c>
      <c r="I141" s="4">
        <v>1</v>
      </c>
      <c r="J141" s="4">
        <v>184</v>
      </c>
      <c r="K141" s="4">
        <v>3</v>
      </c>
      <c r="L141" s="4" t="s">
        <v>46</v>
      </c>
      <c r="M141" s="4">
        <v>48</v>
      </c>
      <c r="N141" s="4">
        <v>3</v>
      </c>
      <c r="O141" s="4">
        <v>2</v>
      </c>
      <c r="P141" s="4" t="s">
        <v>61</v>
      </c>
      <c r="Q141" s="4">
        <v>4</v>
      </c>
      <c r="R141" s="4" t="s">
        <v>48</v>
      </c>
      <c r="S141" s="4">
        <v>6347</v>
      </c>
      <c r="T141" s="4">
        <v>13982</v>
      </c>
      <c r="U141" s="4">
        <v>0</v>
      </c>
      <c r="V141" s="4" t="s">
        <v>42</v>
      </c>
      <c r="W141" s="4" t="s">
        <v>35</v>
      </c>
      <c r="X141" s="4">
        <v>19</v>
      </c>
      <c r="Y141" s="4">
        <v>3</v>
      </c>
      <c r="Z141" s="4">
        <v>4</v>
      </c>
      <c r="AA141" s="4">
        <v>80</v>
      </c>
      <c r="AB141" s="4">
        <v>0</v>
      </c>
      <c r="AC141" s="4">
        <v>12</v>
      </c>
      <c r="AD141" s="4">
        <v>2</v>
      </c>
      <c r="AE141" s="4">
        <v>1</v>
      </c>
      <c r="AF141" s="4">
        <v>11</v>
      </c>
      <c r="AG141" s="4">
        <v>9</v>
      </c>
      <c r="AH141" s="4">
        <v>4</v>
      </c>
      <c r="AI141" s="4">
        <v>7</v>
      </c>
      <c r="AJ141" s="4"/>
      <c r="AK141" s="4"/>
      <c r="AL141" s="4"/>
      <c r="AM141" s="4"/>
      <c r="AN141" s="4"/>
      <c r="AO141" s="4"/>
    </row>
    <row r="142" spans="1:41" hidden="1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41" hidden="1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41" x14ac:dyDescent="0.3">
      <c r="A144" s="4">
        <v>38</v>
      </c>
      <c r="B144" s="4" t="s">
        <v>43</v>
      </c>
      <c r="C144" s="4" t="s">
        <v>36</v>
      </c>
      <c r="D144" s="4">
        <v>364</v>
      </c>
      <c r="E144" s="4" t="s">
        <v>45</v>
      </c>
      <c r="F144" s="4">
        <v>3</v>
      </c>
      <c r="G144" s="4">
        <v>5</v>
      </c>
      <c r="H144" s="4" t="s">
        <v>60</v>
      </c>
      <c r="I144" s="4">
        <v>1</v>
      </c>
      <c r="J144" s="4">
        <v>193</v>
      </c>
      <c r="K144" s="4">
        <v>4</v>
      </c>
      <c r="L144" s="4" t="s">
        <v>39</v>
      </c>
      <c r="M144" s="4">
        <v>32</v>
      </c>
      <c r="N144" s="4">
        <v>3</v>
      </c>
      <c r="O144" s="4">
        <v>2</v>
      </c>
      <c r="P144" s="4" t="s">
        <v>47</v>
      </c>
      <c r="Q144" s="4">
        <v>3</v>
      </c>
      <c r="R144" s="4" t="s">
        <v>41</v>
      </c>
      <c r="S144" s="4">
        <v>4317</v>
      </c>
      <c r="T144" s="4">
        <v>2302</v>
      </c>
      <c r="U144" s="4">
        <v>3</v>
      </c>
      <c r="V144" s="4" t="s">
        <v>42</v>
      </c>
      <c r="W144" s="4" t="s">
        <v>35</v>
      </c>
      <c r="X144" s="4">
        <v>20</v>
      </c>
      <c r="Y144" s="4">
        <v>4</v>
      </c>
      <c r="Z144" s="4">
        <v>2</v>
      </c>
      <c r="AA144" s="4">
        <v>80</v>
      </c>
      <c r="AB144" s="4">
        <v>0</v>
      </c>
      <c r="AC144" s="4">
        <v>19</v>
      </c>
      <c r="AD144" s="4">
        <v>2</v>
      </c>
      <c r="AE144" s="4">
        <v>3</v>
      </c>
      <c r="AF144" s="4">
        <v>3</v>
      </c>
      <c r="AG144" s="4">
        <v>2</v>
      </c>
      <c r="AH144" s="4">
        <v>2</v>
      </c>
      <c r="AI144" s="4">
        <v>2</v>
      </c>
      <c r="AJ144" s="4"/>
      <c r="AK144" s="4"/>
      <c r="AL144" s="4"/>
      <c r="AM144" s="4"/>
      <c r="AN144" s="4"/>
      <c r="AO144" s="4"/>
    </row>
    <row r="145" spans="1:41" hidden="1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41" hidden="1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41" hidden="1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41" hidden="1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41" hidden="1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41" hidden="1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41" hidden="1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41" hidden="1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41" hidden="1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41" x14ac:dyDescent="0.3">
      <c r="A154" s="4">
        <v>53</v>
      </c>
      <c r="B154" s="4" t="s">
        <v>43</v>
      </c>
      <c r="C154" s="4" t="s">
        <v>36</v>
      </c>
      <c r="D154" s="4">
        <v>1436</v>
      </c>
      <c r="E154" s="4" t="s">
        <v>37</v>
      </c>
      <c r="F154" s="4">
        <v>6</v>
      </c>
      <c r="G154" s="4">
        <v>2</v>
      </c>
      <c r="H154" s="4" t="s">
        <v>59</v>
      </c>
      <c r="I154" s="4">
        <v>1</v>
      </c>
      <c r="J154" s="4">
        <v>205</v>
      </c>
      <c r="K154" s="4">
        <v>2</v>
      </c>
      <c r="L154" s="4" t="s">
        <v>46</v>
      </c>
      <c r="M154" s="4">
        <v>34</v>
      </c>
      <c r="N154" s="4">
        <v>3</v>
      </c>
      <c r="O154" s="4">
        <v>2</v>
      </c>
      <c r="P154" s="4" t="s">
        <v>57</v>
      </c>
      <c r="Q154" s="4">
        <v>3</v>
      </c>
      <c r="R154" s="4" t="s">
        <v>48</v>
      </c>
      <c r="S154" s="4">
        <v>2306</v>
      </c>
      <c r="T154" s="4">
        <v>16047</v>
      </c>
      <c r="U154" s="4">
        <v>2</v>
      </c>
      <c r="V154" s="4" t="s">
        <v>42</v>
      </c>
      <c r="W154" s="4" t="s">
        <v>35</v>
      </c>
      <c r="X154" s="4">
        <v>20</v>
      </c>
      <c r="Y154" s="4">
        <v>4</v>
      </c>
      <c r="Z154" s="4">
        <v>4</v>
      </c>
      <c r="AA154" s="4">
        <v>80</v>
      </c>
      <c r="AB154" s="4">
        <v>1</v>
      </c>
      <c r="AC154" s="4">
        <v>13</v>
      </c>
      <c r="AD154" s="4">
        <v>3</v>
      </c>
      <c r="AE154" s="4">
        <v>1</v>
      </c>
      <c r="AF154" s="4">
        <v>7</v>
      </c>
      <c r="AG154" s="4">
        <v>7</v>
      </c>
      <c r="AH154" s="4">
        <v>4</v>
      </c>
      <c r="AI154" s="4">
        <v>5</v>
      </c>
      <c r="AJ154" s="4"/>
      <c r="AK154" s="4"/>
      <c r="AL154" s="4"/>
      <c r="AM154" s="4"/>
      <c r="AN154" s="4"/>
      <c r="AO154" s="4"/>
    </row>
    <row r="155" spans="1:41" hidden="1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41" hidden="1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41" hidden="1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41" hidden="1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41" x14ac:dyDescent="0.3">
      <c r="A159" s="4">
        <v>58</v>
      </c>
      <c r="B159" s="4" t="s">
        <v>43</v>
      </c>
      <c r="C159" s="4" t="s">
        <v>36</v>
      </c>
      <c r="D159" s="4">
        <v>1145</v>
      </c>
      <c r="E159" s="4" t="s">
        <v>45</v>
      </c>
      <c r="F159" s="4">
        <v>9</v>
      </c>
      <c r="G159" s="4">
        <v>3</v>
      </c>
      <c r="H159" s="4" t="s">
        <v>51</v>
      </c>
      <c r="I159" s="4">
        <v>1</v>
      </c>
      <c r="J159" s="4">
        <v>214</v>
      </c>
      <c r="K159" s="4">
        <v>2</v>
      </c>
      <c r="L159" s="4" t="s">
        <v>39</v>
      </c>
      <c r="M159" s="4">
        <v>75</v>
      </c>
      <c r="N159" s="4">
        <v>2</v>
      </c>
      <c r="O159" s="4">
        <v>1</v>
      </c>
      <c r="P159" s="4" t="s">
        <v>47</v>
      </c>
      <c r="Q159" s="4">
        <v>2</v>
      </c>
      <c r="R159" s="4" t="s">
        <v>48</v>
      </c>
      <c r="S159" s="4">
        <v>3346</v>
      </c>
      <c r="T159" s="4">
        <v>11873</v>
      </c>
      <c r="U159" s="4">
        <v>4</v>
      </c>
      <c r="V159" s="4" t="s">
        <v>42</v>
      </c>
      <c r="W159" s="4" t="s">
        <v>35</v>
      </c>
      <c r="X159" s="4">
        <v>20</v>
      </c>
      <c r="Y159" s="4">
        <v>4</v>
      </c>
      <c r="Z159" s="4">
        <v>2</v>
      </c>
      <c r="AA159" s="4">
        <v>80</v>
      </c>
      <c r="AB159" s="4">
        <v>1</v>
      </c>
      <c r="AC159" s="4">
        <v>9</v>
      </c>
      <c r="AD159" s="4">
        <v>3</v>
      </c>
      <c r="AE159" s="4">
        <v>2</v>
      </c>
      <c r="AF159" s="4">
        <v>1</v>
      </c>
      <c r="AG159" s="4">
        <v>0</v>
      </c>
      <c r="AH159" s="4">
        <v>0</v>
      </c>
      <c r="AI159" s="4">
        <v>0</v>
      </c>
      <c r="AJ159" s="4"/>
      <c r="AK159" s="4"/>
      <c r="AL159" s="4"/>
      <c r="AM159" s="4"/>
      <c r="AN159" s="4"/>
      <c r="AO159" s="4"/>
    </row>
    <row r="160" spans="1:41" hidden="1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41" hidden="1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41" hidden="1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41" hidden="1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41" hidden="1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41" x14ac:dyDescent="0.3">
      <c r="A165" s="4">
        <v>57</v>
      </c>
      <c r="B165" s="4" t="s">
        <v>43</v>
      </c>
      <c r="C165" s="4" t="s">
        <v>36</v>
      </c>
      <c r="D165" s="4">
        <v>334</v>
      </c>
      <c r="E165" s="4" t="s">
        <v>45</v>
      </c>
      <c r="F165" s="4">
        <v>24</v>
      </c>
      <c r="G165" s="4">
        <v>2</v>
      </c>
      <c r="H165" s="4" t="s">
        <v>38</v>
      </c>
      <c r="I165" s="4">
        <v>1</v>
      </c>
      <c r="J165" s="4">
        <v>223</v>
      </c>
      <c r="K165" s="4">
        <v>3</v>
      </c>
      <c r="L165" s="4" t="s">
        <v>46</v>
      </c>
      <c r="M165" s="4">
        <v>83</v>
      </c>
      <c r="N165" s="4">
        <v>4</v>
      </c>
      <c r="O165" s="4">
        <v>3</v>
      </c>
      <c r="P165" s="4" t="s">
        <v>54</v>
      </c>
      <c r="Q165" s="4">
        <v>4</v>
      </c>
      <c r="R165" s="4" t="s">
        <v>52</v>
      </c>
      <c r="S165" s="4">
        <v>9439</v>
      </c>
      <c r="T165" s="4">
        <v>23402</v>
      </c>
      <c r="U165" s="4">
        <v>3</v>
      </c>
      <c r="V165" s="4" t="s">
        <v>42</v>
      </c>
      <c r="W165" s="4" t="s">
        <v>35</v>
      </c>
      <c r="X165" s="4">
        <v>16</v>
      </c>
      <c r="Y165" s="4">
        <v>3</v>
      </c>
      <c r="Z165" s="4">
        <v>2</v>
      </c>
      <c r="AA165" s="4">
        <v>80</v>
      </c>
      <c r="AB165" s="4">
        <v>1</v>
      </c>
      <c r="AC165" s="4">
        <v>12</v>
      </c>
      <c r="AD165" s="4">
        <v>2</v>
      </c>
      <c r="AE165" s="4">
        <v>1</v>
      </c>
      <c r="AF165" s="4">
        <v>5</v>
      </c>
      <c r="AG165" s="4">
        <v>3</v>
      </c>
      <c r="AH165" s="4">
        <v>1</v>
      </c>
      <c r="AI165" s="4">
        <v>4</v>
      </c>
      <c r="AJ165" s="4"/>
      <c r="AK165" s="4"/>
      <c r="AL165" s="4"/>
      <c r="AM165" s="4"/>
      <c r="AN165" s="4"/>
      <c r="AO165" s="4"/>
    </row>
    <row r="166" spans="1:41" x14ac:dyDescent="0.3">
      <c r="A166" s="4">
        <v>27</v>
      </c>
      <c r="B166" s="4" t="s">
        <v>43</v>
      </c>
      <c r="C166" s="4" t="s">
        <v>55</v>
      </c>
      <c r="D166" s="4">
        <v>1450</v>
      </c>
      <c r="E166" s="4" t="s">
        <v>45</v>
      </c>
      <c r="F166" s="4">
        <v>3</v>
      </c>
      <c r="G166" s="4">
        <v>3</v>
      </c>
      <c r="H166" s="4" t="s">
        <v>51</v>
      </c>
      <c r="I166" s="4">
        <v>1</v>
      </c>
      <c r="J166" s="4">
        <v>224</v>
      </c>
      <c r="K166" s="4">
        <v>3</v>
      </c>
      <c r="L166" s="4" t="s">
        <v>46</v>
      </c>
      <c r="M166" s="4">
        <v>79</v>
      </c>
      <c r="N166" s="4">
        <v>2</v>
      </c>
      <c r="O166" s="4">
        <v>1</v>
      </c>
      <c r="P166" s="4" t="s">
        <v>47</v>
      </c>
      <c r="Q166" s="4">
        <v>3</v>
      </c>
      <c r="R166" s="4" t="s">
        <v>52</v>
      </c>
      <c r="S166" s="4">
        <v>2566</v>
      </c>
      <c r="T166" s="4">
        <v>25326</v>
      </c>
      <c r="U166" s="4">
        <v>1</v>
      </c>
      <c r="V166" s="4" t="s">
        <v>42</v>
      </c>
      <c r="W166" s="4" t="s">
        <v>35</v>
      </c>
      <c r="X166" s="4">
        <v>15</v>
      </c>
      <c r="Y166" s="4">
        <v>3</v>
      </c>
      <c r="Z166" s="4">
        <v>4</v>
      </c>
      <c r="AA166" s="4">
        <v>80</v>
      </c>
      <c r="AB166" s="4">
        <v>1</v>
      </c>
      <c r="AC166" s="4">
        <v>1</v>
      </c>
      <c r="AD166" s="4">
        <v>2</v>
      </c>
      <c r="AE166" s="4">
        <v>2</v>
      </c>
      <c r="AF166" s="4">
        <v>1</v>
      </c>
      <c r="AG166" s="4">
        <v>1</v>
      </c>
      <c r="AH166" s="4">
        <v>0</v>
      </c>
      <c r="AI166" s="4">
        <v>1</v>
      </c>
      <c r="AJ166" s="4"/>
      <c r="AK166" s="4"/>
      <c r="AL166" s="4"/>
      <c r="AM166" s="4"/>
      <c r="AN166" s="4"/>
      <c r="AO166" s="4"/>
    </row>
    <row r="167" spans="1:41" hidden="1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41" hidden="1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41" hidden="1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41" hidden="1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41" hidden="1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41" x14ac:dyDescent="0.3">
      <c r="A172" s="4">
        <v>27</v>
      </c>
      <c r="B172" s="4" t="s">
        <v>43</v>
      </c>
      <c r="C172" s="4" t="s">
        <v>36</v>
      </c>
      <c r="D172" s="4">
        <v>1157</v>
      </c>
      <c r="E172" s="4" t="s">
        <v>45</v>
      </c>
      <c r="F172" s="4">
        <v>17</v>
      </c>
      <c r="G172" s="4">
        <v>3</v>
      </c>
      <c r="H172" s="4" t="s">
        <v>60</v>
      </c>
      <c r="I172" s="4">
        <v>1</v>
      </c>
      <c r="J172" s="4">
        <v>233</v>
      </c>
      <c r="K172" s="4">
        <v>3</v>
      </c>
      <c r="L172" s="4" t="s">
        <v>46</v>
      </c>
      <c r="M172" s="4">
        <v>51</v>
      </c>
      <c r="N172" s="4">
        <v>3</v>
      </c>
      <c r="O172" s="4">
        <v>1</v>
      </c>
      <c r="P172" s="4" t="s">
        <v>47</v>
      </c>
      <c r="Q172" s="4">
        <v>2</v>
      </c>
      <c r="R172" s="4" t="s">
        <v>48</v>
      </c>
      <c r="S172" s="4">
        <v>3058</v>
      </c>
      <c r="T172" s="4">
        <v>13364</v>
      </c>
      <c r="U172" s="4">
        <v>0</v>
      </c>
      <c r="V172" s="4" t="s">
        <v>42</v>
      </c>
      <c r="W172" s="4" t="s">
        <v>35</v>
      </c>
      <c r="X172" s="4">
        <v>16</v>
      </c>
      <c r="Y172" s="4">
        <v>3</v>
      </c>
      <c r="Z172" s="4">
        <v>4</v>
      </c>
      <c r="AA172" s="4">
        <v>80</v>
      </c>
      <c r="AB172" s="4">
        <v>1</v>
      </c>
      <c r="AC172" s="4">
        <v>6</v>
      </c>
      <c r="AD172" s="4">
        <v>3</v>
      </c>
      <c r="AE172" s="4">
        <v>2</v>
      </c>
      <c r="AF172" s="4">
        <v>5</v>
      </c>
      <c r="AG172" s="4">
        <v>2</v>
      </c>
      <c r="AH172" s="4">
        <v>1</v>
      </c>
      <c r="AI172" s="4">
        <v>1</v>
      </c>
      <c r="AJ172" s="4"/>
      <c r="AK172" s="4"/>
      <c r="AL172" s="4"/>
      <c r="AM172" s="4"/>
      <c r="AN172" s="4"/>
      <c r="AO172" s="4"/>
    </row>
    <row r="173" spans="1:41" hidden="1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41" hidden="1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41" hidden="1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41" x14ac:dyDescent="0.3">
      <c r="A176" s="4">
        <v>45</v>
      </c>
      <c r="B176" s="4" t="s">
        <v>43</v>
      </c>
      <c r="C176" s="4" t="s">
        <v>36</v>
      </c>
      <c r="D176" s="4">
        <v>1268</v>
      </c>
      <c r="E176" s="4" t="s">
        <v>37</v>
      </c>
      <c r="F176" s="4">
        <v>4</v>
      </c>
      <c r="G176" s="4">
        <v>2</v>
      </c>
      <c r="H176" s="4" t="s">
        <v>38</v>
      </c>
      <c r="I176" s="4">
        <v>1</v>
      </c>
      <c r="J176" s="4">
        <v>240</v>
      </c>
      <c r="K176" s="4">
        <v>3</v>
      </c>
      <c r="L176" s="4" t="s">
        <v>39</v>
      </c>
      <c r="M176" s="4">
        <v>30</v>
      </c>
      <c r="N176" s="4">
        <v>3</v>
      </c>
      <c r="O176" s="4">
        <v>2</v>
      </c>
      <c r="P176" s="4" t="s">
        <v>40</v>
      </c>
      <c r="Q176" s="4">
        <v>1</v>
      </c>
      <c r="R176" s="4" t="s">
        <v>52</v>
      </c>
      <c r="S176" s="4">
        <v>5006</v>
      </c>
      <c r="T176" s="4">
        <v>6319</v>
      </c>
      <c r="U176" s="4">
        <v>4</v>
      </c>
      <c r="V176" s="4" t="s">
        <v>42</v>
      </c>
      <c r="W176" s="4" t="s">
        <v>35</v>
      </c>
      <c r="X176" s="4">
        <v>11</v>
      </c>
      <c r="Y176" s="4">
        <v>3</v>
      </c>
      <c r="Z176" s="4">
        <v>1</v>
      </c>
      <c r="AA176" s="4">
        <v>80</v>
      </c>
      <c r="AB176" s="4">
        <v>1</v>
      </c>
      <c r="AC176" s="4">
        <v>9</v>
      </c>
      <c r="AD176" s="4">
        <v>3</v>
      </c>
      <c r="AE176" s="4">
        <v>4</v>
      </c>
      <c r="AF176" s="4">
        <v>5</v>
      </c>
      <c r="AG176" s="4">
        <v>4</v>
      </c>
      <c r="AH176" s="4">
        <v>0</v>
      </c>
      <c r="AI176" s="4">
        <v>3</v>
      </c>
      <c r="AJ176" s="4"/>
      <c r="AK176" s="4"/>
      <c r="AL176" s="4"/>
      <c r="AM176" s="4"/>
      <c r="AN176" s="4"/>
      <c r="AO176" s="4"/>
    </row>
    <row r="177" spans="1:41" x14ac:dyDescent="0.3">
      <c r="A177" s="4">
        <v>56</v>
      </c>
      <c r="B177" s="4" t="s">
        <v>43</v>
      </c>
      <c r="C177" s="4" t="s">
        <v>36</v>
      </c>
      <c r="D177" s="4">
        <v>713</v>
      </c>
      <c r="E177" s="4" t="s">
        <v>45</v>
      </c>
      <c r="F177" s="4">
        <v>8</v>
      </c>
      <c r="G177" s="4">
        <v>3</v>
      </c>
      <c r="H177" s="4" t="s">
        <v>38</v>
      </c>
      <c r="I177" s="4">
        <v>1</v>
      </c>
      <c r="J177" s="4">
        <v>241</v>
      </c>
      <c r="K177" s="4">
        <v>3</v>
      </c>
      <c r="L177" s="4" t="s">
        <v>39</v>
      </c>
      <c r="M177" s="4">
        <v>67</v>
      </c>
      <c r="N177" s="4">
        <v>3</v>
      </c>
      <c r="O177" s="4">
        <v>1</v>
      </c>
      <c r="P177" s="4" t="s">
        <v>47</v>
      </c>
      <c r="Q177" s="4">
        <v>1</v>
      </c>
      <c r="R177" s="4" t="s">
        <v>52</v>
      </c>
      <c r="S177" s="4">
        <v>4257</v>
      </c>
      <c r="T177" s="4">
        <v>13939</v>
      </c>
      <c r="U177" s="4">
        <v>4</v>
      </c>
      <c r="V177" s="4" t="s">
        <v>42</v>
      </c>
      <c r="W177" s="4" t="s">
        <v>35</v>
      </c>
      <c r="X177" s="4">
        <v>18</v>
      </c>
      <c r="Y177" s="4">
        <v>3</v>
      </c>
      <c r="Z177" s="4">
        <v>3</v>
      </c>
      <c r="AA177" s="4">
        <v>80</v>
      </c>
      <c r="AB177" s="4">
        <v>1</v>
      </c>
      <c r="AC177" s="4">
        <v>19</v>
      </c>
      <c r="AD177" s="4">
        <v>3</v>
      </c>
      <c r="AE177" s="4">
        <v>3</v>
      </c>
      <c r="AF177" s="4">
        <v>2</v>
      </c>
      <c r="AG177" s="4">
        <v>2</v>
      </c>
      <c r="AH177" s="4">
        <v>2</v>
      </c>
      <c r="AI177" s="4">
        <v>2</v>
      </c>
      <c r="AJ177" s="4"/>
      <c r="AK177" s="4"/>
      <c r="AL177" s="4"/>
      <c r="AM177" s="4"/>
      <c r="AN177" s="4"/>
      <c r="AO177" s="4"/>
    </row>
    <row r="178" spans="1:41" hidden="1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41" hidden="1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41" hidden="1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41" hidden="1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41" x14ac:dyDescent="0.3">
      <c r="A182" s="4">
        <v>31</v>
      </c>
      <c r="B182" s="4" t="s">
        <v>43</v>
      </c>
      <c r="C182" s="4" t="s">
        <v>36</v>
      </c>
      <c r="D182" s="4">
        <v>140</v>
      </c>
      <c r="E182" s="4" t="s">
        <v>45</v>
      </c>
      <c r="F182" s="4">
        <v>12</v>
      </c>
      <c r="G182" s="4">
        <v>1</v>
      </c>
      <c r="H182" s="4" t="s">
        <v>51</v>
      </c>
      <c r="I182" s="4">
        <v>1</v>
      </c>
      <c r="J182" s="4">
        <v>246</v>
      </c>
      <c r="K182" s="4">
        <v>3</v>
      </c>
      <c r="L182" s="4" t="s">
        <v>39</v>
      </c>
      <c r="M182" s="4">
        <v>95</v>
      </c>
      <c r="N182" s="4">
        <v>3</v>
      </c>
      <c r="O182" s="4">
        <v>1</v>
      </c>
      <c r="P182" s="4" t="s">
        <v>47</v>
      </c>
      <c r="Q182" s="4">
        <v>4</v>
      </c>
      <c r="R182" s="4" t="s">
        <v>48</v>
      </c>
      <c r="S182" s="4">
        <v>3929</v>
      </c>
      <c r="T182" s="4">
        <v>6984</v>
      </c>
      <c r="U182" s="4">
        <v>8</v>
      </c>
      <c r="V182" s="4" t="s">
        <v>42</v>
      </c>
      <c r="W182" s="4" t="s">
        <v>35</v>
      </c>
      <c r="X182" s="4">
        <v>23</v>
      </c>
      <c r="Y182" s="4">
        <v>4</v>
      </c>
      <c r="Z182" s="4">
        <v>3</v>
      </c>
      <c r="AA182" s="4">
        <v>80</v>
      </c>
      <c r="AB182" s="4">
        <v>1</v>
      </c>
      <c r="AC182" s="4">
        <v>7</v>
      </c>
      <c r="AD182" s="4">
        <v>0</v>
      </c>
      <c r="AE182" s="4">
        <v>3</v>
      </c>
      <c r="AF182" s="4">
        <v>4</v>
      </c>
      <c r="AG182" s="4">
        <v>2</v>
      </c>
      <c r="AH182" s="4">
        <v>0</v>
      </c>
      <c r="AI182" s="4">
        <v>2</v>
      </c>
      <c r="AJ182" s="4"/>
      <c r="AK182" s="4"/>
      <c r="AL182" s="4"/>
      <c r="AM182" s="4"/>
      <c r="AN182" s="4"/>
      <c r="AO182" s="4"/>
    </row>
    <row r="183" spans="1:41" hidden="1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41" x14ac:dyDescent="0.3">
      <c r="A184" s="4">
        <v>41</v>
      </c>
      <c r="B184" s="4" t="s">
        <v>35</v>
      </c>
      <c r="C184" s="4" t="s">
        <v>36</v>
      </c>
      <c r="D184" s="4">
        <v>1356</v>
      </c>
      <c r="E184" s="4" t="s">
        <v>37</v>
      </c>
      <c r="F184" s="4">
        <v>20</v>
      </c>
      <c r="G184" s="4">
        <v>2</v>
      </c>
      <c r="H184" s="4" t="s">
        <v>59</v>
      </c>
      <c r="I184" s="4">
        <v>1</v>
      </c>
      <c r="J184" s="4">
        <v>248</v>
      </c>
      <c r="K184" s="4">
        <v>2</v>
      </c>
      <c r="L184" s="4" t="s">
        <v>39</v>
      </c>
      <c r="M184" s="4">
        <v>70</v>
      </c>
      <c r="N184" s="4">
        <v>3</v>
      </c>
      <c r="O184" s="4">
        <v>1</v>
      </c>
      <c r="P184" s="4" t="s">
        <v>57</v>
      </c>
      <c r="Q184" s="4">
        <v>2</v>
      </c>
      <c r="R184" s="4" t="s">
        <v>41</v>
      </c>
      <c r="S184" s="4">
        <v>3140</v>
      </c>
      <c r="T184" s="4">
        <v>21728</v>
      </c>
      <c r="U184" s="4">
        <v>1</v>
      </c>
      <c r="V184" s="4" t="s">
        <v>42</v>
      </c>
      <c r="W184" s="4" t="s">
        <v>35</v>
      </c>
      <c r="X184" s="4">
        <v>22</v>
      </c>
      <c r="Y184" s="4">
        <v>4</v>
      </c>
      <c r="Z184" s="4">
        <v>4</v>
      </c>
      <c r="AA184" s="4">
        <v>80</v>
      </c>
      <c r="AB184" s="4">
        <v>0</v>
      </c>
      <c r="AC184" s="4">
        <v>4</v>
      </c>
      <c r="AD184" s="4">
        <v>5</v>
      </c>
      <c r="AE184" s="4">
        <v>2</v>
      </c>
      <c r="AF184" s="4">
        <v>4</v>
      </c>
      <c r="AG184" s="4">
        <v>3</v>
      </c>
      <c r="AH184" s="4">
        <v>0</v>
      </c>
      <c r="AI184" s="4">
        <v>2</v>
      </c>
      <c r="AJ184" s="4"/>
      <c r="AK184" s="4"/>
      <c r="AL184" s="4"/>
      <c r="AM184" s="4"/>
      <c r="AN184" s="4"/>
      <c r="AO184" s="4"/>
    </row>
    <row r="185" spans="1:41" hidden="1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41" hidden="1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41" hidden="1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41" hidden="1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41" hidden="1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41" hidden="1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41" hidden="1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41" hidden="1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41" hidden="1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41" x14ac:dyDescent="0.3">
      <c r="A194" s="4">
        <v>35</v>
      </c>
      <c r="B194" s="4" t="s">
        <v>35</v>
      </c>
      <c r="C194" s="4" t="s">
        <v>36</v>
      </c>
      <c r="D194" s="4">
        <v>556</v>
      </c>
      <c r="E194" s="4" t="s">
        <v>45</v>
      </c>
      <c r="F194" s="4">
        <v>23</v>
      </c>
      <c r="G194" s="4">
        <v>2</v>
      </c>
      <c r="H194" s="4" t="s">
        <v>38</v>
      </c>
      <c r="I194" s="4">
        <v>1</v>
      </c>
      <c r="J194" s="4">
        <v>261</v>
      </c>
      <c r="K194" s="4">
        <v>2</v>
      </c>
      <c r="L194" s="4" t="s">
        <v>46</v>
      </c>
      <c r="M194" s="4">
        <v>50</v>
      </c>
      <c r="N194" s="4">
        <v>2</v>
      </c>
      <c r="O194" s="4">
        <v>2</v>
      </c>
      <c r="P194" s="4" t="s">
        <v>53</v>
      </c>
      <c r="Q194" s="4">
        <v>3</v>
      </c>
      <c r="R194" s="4" t="s">
        <v>48</v>
      </c>
      <c r="S194" s="4">
        <v>5916</v>
      </c>
      <c r="T194" s="4">
        <v>15497</v>
      </c>
      <c r="U194" s="4">
        <v>3</v>
      </c>
      <c r="V194" s="4" t="s">
        <v>42</v>
      </c>
      <c r="W194" s="4" t="s">
        <v>35</v>
      </c>
      <c r="X194" s="4">
        <v>13</v>
      </c>
      <c r="Y194" s="4">
        <v>3</v>
      </c>
      <c r="Z194" s="4">
        <v>1</v>
      </c>
      <c r="AA194" s="4">
        <v>80</v>
      </c>
      <c r="AB194" s="4">
        <v>0</v>
      </c>
      <c r="AC194" s="4">
        <v>8</v>
      </c>
      <c r="AD194" s="4">
        <v>1</v>
      </c>
      <c r="AE194" s="4">
        <v>3</v>
      </c>
      <c r="AF194" s="4">
        <v>1</v>
      </c>
      <c r="AG194" s="4">
        <v>0</v>
      </c>
      <c r="AH194" s="4">
        <v>0</v>
      </c>
      <c r="AI194" s="4">
        <v>1</v>
      </c>
      <c r="AJ194" s="4"/>
      <c r="AK194" s="4"/>
      <c r="AL194" s="4"/>
      <c r="AM194" s="4"/>
      <c r="AN194" s="4"/>
      <c r="AO194" s="4"/>
    </row>
    <row r="195" spans="1:41" hidden="1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41" hidden="1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41" x14ac:dyDescent="0.3">
      <c r="A197" s="4">
        <v>37</v>
      </c>
      <c r="B197" s="4" t="s">
        <v>43</v>
      </c>
      <c r="C197" s="4" t="s">
        <v>36</v>
      </c>
      <c r="D197" s="4">
        <v>290</v>
      </c>
      <c r="E197" s="4" t="s">
        <v>45</v>
      </c>
      <c r="F197" s="4">
        <v>21</v>
      </c>
      <c r="G197" s="4">
        <v>3</v>
      </c>
      <c r="H197" s="4" t="s">
        <v>38</v>
      </c>
      <c r="I197" s="4">
        <v>1</v>
      </c>
      <c r="J197" s="4">
        <v>267</v>
      </c>
      <c r="K197" s="4">
        <v>2</v>
      </c>
      <c r="L197" s="4" t="s">
        <v>46</v>
      </c>
      <c r="M197" s="4">
        <v>65</v>
      </c>
      <c r="N197" s="4">
        <v>4</v>
      </c>
      <c r="O197" s="4">
        <v>1</v>
      </c>
      <c r="P197" s="4" t="s">
        <v>47</v>
      </c>
      <c r="Q197" s="4">
        <v>1</v>
      </c>
      <c r="R197" s="4" t="s">
        <v>48</v>
      </c>
      <c r="S197" s="4">
        <v>3564</v>
      </c>
      <c r="T197" s="4">
        <v>22977</v>
      </c>
      <c r="U197" s="4">
        <v>1</v>
      </c>
      <c r="V197" s="4" t="s">
        <v>42</v>
      </c>
      <c r="W197" s="4" t="s">
        <v>35</v>
      </c>
      <c r="X197" s="4">
        <v>12</v>
      </c>
      <c r="Y197" s="4">
        <v>3</v>
      </c>
      <c r="Z197" s="4">
        <v>1</v>
      </c>
      <c r="AA197" s="4">
        <v>80</v>
      </c>
      <c r="AB197" s="4">
        <v>1</v>
      </c>
      <c r="AC197" s="4">
        <v>8</v>
      </c>
      <c r="AD197" s="4">
        <v>3</v>
      </c>
      <c r="AE197" s="4">
        <v>2</v>
      </c>
      <c r="AF197" s="4">
        <v>8</v>
      </c>
      <c r="AG197" s="4">
        <v>7</v>
      </c>
      <c r="AH197" s="4">
        <v>1</v>
      </c>
      <c r="AI197" s="4">
        <v>7</v>
      </c>
      <c r="AJ197" s="4"/>
      <c r="AK197" s="4"/>
      <c r="AL197" s="4"/>
      <c r="AM197" s="4"/>
      <c r="AN197" s="4"/>
      <c r="AO197" s="4"/>
    </row>
    <row r="198" spans="1:41" hidden="1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41" hidden="1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41" hidden="1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41" hidden="1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41" hidden="1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41" x14ac:dyDescent="0.3">
      <c r="A203" s="4">
        <v>49</v>
      </c>
      <c r="B203" s="4" t="s">
        <v>43</v>
      </c>
      <c r="C203" s="4" t="s">
        <v>55</v>
      </c>
      <c r="D203" s="4">
        <v>1002</v>
      </c>
      <c r="E203" s="4" t="s">
        <v>45</v>
      </c>
      <c r="F203" s="4">
        <v>18</v>
      </c>
      <c r="G203" s="4">
        <v>4</v>
      </c>
      <c r="H203" s="4" t="s">
        <v>38</v>
      </c>
      <c r="I203" s="4">
        <v>1</v>
      </c>
      <c r="J203" s="4">
        <v>275</v>
      </c>
      <c r="K203" s="4">
        <v>4</v>
      </c>
      <c r="L203" s="4" t="s">
        <v>46</v>
      </c>
      <c r="M203" s="4">
        <v>92</v>
      </c>
      <c r="N203" s="4">
        <v>3</v>
      </c>
      <c r="O203" s="4">
        <v>2</v>
      </c>
      <c r="P203" s="4" t="s">
        <v>53</v>
      </c>
      <c r="Q203" s="4">
        <v>4</v>
      </c>
      <c r="R203" s="4" t="s">
        <v>52</v>
      </c>
      <c r="S203" s="4">
        <v>6804</v>
      </c>
      <c r="T203" s="4">
        <v>23793</v>
      </c>
      <c r="U203" s="4">
        <v>1</v>
      </c>
      <c r="V203" s="4" t="s">
        <v>42</v>
      </c>
      <c r="W203" s="4" t="s">
        <v>35</v>
      </c>
      <c r="X203" s="4">
        <v>15</v>
      </c>
      <c r="Y203" s="4">
        <v>3</v>
      </c>
      <c r="Z203" s="4">
        <v>1</v>
      </c>
      <c r="AA203" s="4">
        <v>80</v>
      </c>
      <c r="AB203" s="4">
        <v>2</v>
      </c>
      <c r="AC203" s="4">
        <v>7</v>
      </c>
      <c r="AD203" s="4">
        <v>0</v>
      </c>
      <c r="AE203" s="4">
        <v>3</v>
      </c>
      <c r="AF203" s="4">
        <v>7</v>
      </c>
      <c r="AG203" s="4">
        <v>7</v>
      </c>
      <c r="AH203" s="4">
        <v>1</v>
      </c>
      <c r="AI203" s="4">
        <v>7</v>
      </c>
      <c r="AJ203" s="4"/>
      <c r="AK203" s="4"/>
      <c r="AL203" s="4"/>
      <c r="AM203" s="4"/>
      <c r="AN203" s="4"/>
      <c r="AO203" s="4"/>
    </row>
    <row r="204" spans="1:41" x14ac:dyDescent="0.3">
      <c r="A204" s="4">
        <v>34</v>
      </c>
      <c r="B204" s="4" t="s">
        <v>43</v>
      </c>
      <c r="C204" s="4" t="s">
        <v>44</v>
      </c>
      <c r="D204" s="4">
        <v>878</v>
      </c>
      <c r="E204" s="4" t="s">
        <v>45</v>
      </c>
      <c r="F204" s="4">
        <v>10</v>
      </c>
      <c r="G204" s="4">
        <v>4</v>
      </c>
      <c r="H204" s="4" t="s">
        <v>51</v>
      </c>
      <c r="I204" s="4">
        <v>1</v>
      </c>
      <c r="J204" s="4">
        <v>277</v>
      </c>
      <c r="K204" s="4">
        <v>4</v>
      </c>
      <c r="L204" s="4" t="s">
        <v>46</v>
      </c>
      <c r="M204" s="4">
        <v>43</v>
      </c>
      <c r="N204" s="4">
        <v>3</v>
      </c>
      <c r="O204" s="4">
        <v>1</v>
      </c>
      <c r="P204" s="4" t="s">
        <v>47</v>
      </c>
      <c r="Q204" s="4">
        <v>3</v>
      </c>
      <c r="R204" s="4" t="s">
        <v>52</v>
      </c>
      <c r="S204" s="4">
        <v>3815</v>
      </c>
      <c r="T204" s="4">
        <v>5972</v>
      </c>
      <c r="U204" s="4">
        <v>1</v>
      </c>
      <c r="V204" s="4" t="s">
        <v>42</v>
      </c>
      <c r="W204" s="4" t="s">
        <v>35</v>
      </c>
      <c r="X204" s="4">
        <v>17</v>
      </c>
      <c r="Y204" s="4">
        <v>3</v>
      </c>
      <c r="Z204" s="4">
        <v>4</v>
      </c>
      <c r="AA204" s="4">
        <v>80</v>
      </c>
      <c r="AB204" s="4">
        <v>1</v>
      </c>
      <c r="AC204" s="4">
        <v>5</v>
      </c>
      <c r="AD204" s="4">
        <v>4</v>
      </c>
      <c r="AE204" s="4">
        <v>4</v>
      </c>
      <c r="AF204" s="4">
        <v>5</v>
      </c>
      <c r="AG204" s="4">
        <v>3</v>
      </c>
      <c r="AH204" s="4">
        <v>2</v>
      </c>
      <c r="AI204" s="4">
        <v>0</v>
      </c>
      <c r="AJ204" s="4"/>
      <c r="AK204" s="4"/>
      <c r="AL204" s="4"/>
      <c r="AM204" s="4"/>
      <c r="AN204" s="4"/>
      <c r="AO204" s="4"/>
    </row>
    <row r="205" spans="1:41" x14ac:dyDescent="0.3">
      <c r="A205" s="4">
        <v>40</v>
      </c>
      <c r="B205" s="4" t="s">
        <v>43</v>
      </c>
      <c r="C205" s="4" t="s">
        <v>36</v>
      </c>
      <c r="D205" s="4">
        <v>905</v>
      </c>
      <c r="E205" s="4" t="s">
        <v>45</v>
      </c>
      <c r="F205" s="4">
        <v>19</v>
      </c>
      <c r="G205" s="4">
        <v>2</v>
      </c>
      <c r="H205" s="4" t="s">
        <v>51</v>
      </c>
      <c r="I205" s="4">
        <v>1</v>
      </c>
      <c r="J205" s="4">
        <v>281</v>
      </c>
      <c r="K205" s="4">
        <v>3</v>
      </c>
      <c r="L205" s="4" t="s">
        <v>46</v>
      </c>
      <c r="M205" s="4">
        <v>99</v>
      </c>
      <c r="N205" s="4">
        <v>3</v>
      </c>
      <c r="O205" s="4">
        <v>2</v>
      </c>
      <c r="P205" s="4" t="s">
        <v>50</v>
      </c>
      <c r="Q205" s="4">
        <v>4</v>
      </c>
      <c r="R205" s="4" t="s">
        <v>48</v>
      </c>
      <c r="S205" s="4">
        <v>2741</v>
      </c>
      <c r="T205" s="4">
        <v>16523</v>
      </c>
      <c r="U205" s="4">
        <v>8</v>
      </c>
      <c r="V205" s="4" t="s">
        <v>42</v>
      </c>
      <c r="W205" s="4" t="s">
        <v>35</v>
      </c>
      <c r="X205" s="4">
        <v>15</v>
      </c>
      <c r="Y205" s="4">
        <v>3</v>
      </c>
      <c r="Z205" s="4">
        <v>3</v>
      </c>
      <c r="AA205" s="4">
        <v>80</v>
      </c>
      <c r="AB205" s="4">
        <v>1</v>
      </c>
      <c r="AC205" s="4">
        <v>15</v>
      </c>
      <c r="AD205" s="4">
        <v>2</v>
      </c>
      <c r="AE205" s="4">
        <v>4</v>
      </c>
      <c r="AF205" s="4">
        <v>7</v>
      </c>
      <c r="AG205" s="4">
        <v>2</v>
      </c>
      <c r="AH205" s="4">
        <v>3</v>
      </c>
      <c r="AI205" s="4">
        <v>7</v>
      </c>
      <c r="AJ205" s="4"/>
      <c r="AK205" s="4"/>
      <c r="AL205" s="4"/>
      <c r="AM205" s="4"/>
      <c r="AN205" s="4"/>
      <c r="AO205" s="4"/>
    </row>
    <row r="206" spans="1:41" x14ac:dyDescent="0.3">
      <c r="A206" s="4">
        <v>38</v>
      </c>
      <c r="B206" s="4" t="s">
        <v>35</v>
      </c>
      <c r="C206" s="4" t="s">
        <v>36</v>
      </c>
      <c r="D206" s="4">
        <v>1180</v>
      </c>
      <c r="E206" s="4" t="s">
        <v>45</v>
      </c>
      <c r="F206" s="4">
        <v>29</v>
      </c>
      <c r="G206" s="4">
        <v>1</v>
      </c>
      <c r="H206" s="4" t="s">
        <v>51</v>
      </c>
      <c r="I206" s="4">
        <v>1</v>
      </c>
      <c r="J206" s="4">
        <v>282</v>
      </c>
      <c r="K206" s="4">
        <v>2</v>
      </c>
      <c r="L206" s="4" t="s">
        <v>46</v>
      </c>
      <c r="M206" s="4">
        <v>70</v>
      </c>
      <c r="N206" s="4">
        <v>3</v>
      </c>
      <c r="O206" s="4">
        <v>2</v>
      </c>
      <c r="P206" s="4" t="s">
        <v>54</v>
      </c>
      <c r="Q206" s="4">
        <v>1</v>
      </c>
      <c r="R206" s="4" t="s">
        <v>48</v>
      </c>
      <c r="S206" s="4">
        <v>6673</v>
      </c>
      <c r="T206" s="4">
        <v>11354</v>
      </c>
      <c r="U206" s="4">
        <v>7</v>
      </c>
      <c r="V206" s="4" t="s">
        <v>42</v>
      </c>
      <c r="W206" s="4" t="s">
        <v>35</v>
      </c>
      <c r="X206" s="4">
        <v>19</v>
      </c>
      <c r="Y206" s="4">
        <v>3</v>
      </c>
      <c r="Z206" s="4">
        <v>2</v>
      </c>
      <c r="AA206" s="4">
        <v>80</v>
      </c>
      <c r="AB206" s="4">
        <v>0</v>
      </c>
      <c r="AC206" s="4">
        <v>17</v>
      </c>
      <c r="AD206" s="4">
        <v>2</v>
      </c>
      <c r="AE206" s="4">
        <v>3</v>
      </c>
      <c r="AF206" s="4">
        <v>1</v>
      </c>
      <c r="AG206" s="4">
        <v>0</v>
      </c>
      <c r="AH206" s="4">
        <v>0</v>
      </c>
      <c r="AI206" s="4">
        <v>0</v>
      </c>
      <c r="AJ206" s="4"/>
      <c r="AK206" s="4"/>
      <c r="AL206" s="4"/>
      <c r="AM206" s="4"/>
      <c r="AN206" s="4"/>
      <c r="AO206" s="4"/>
    </row>
    <row r="207" spans="1:41" hidden="1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41" x14ac:dyDescent="0.3">
      <c r="A208" s="4">
        <v>22</v>
      </c>
      <c r="B208" s="4" t="s">
        <v>43</v>
      </c>
      <c r="C208" s="4" t="s">
        <v>36</v>
      </c>
      <c r="D208" s="4">
        <v>1136</v>
      </c>
      <c r="E208" s="4" t="s">
        <v>45</v>
      </c>
      <c r="F208" s="4">
        <v>5</v>
      </c>
      <c r="G208" s="4">
        <v>3</v>
      </c>
      <c r="H208" s="4" t="s">
        <v>38</v>
      </c>
      <c r="I208" s="4">
        <v>1</v>
      </c>
      <c r="J208" s="4">
        <v>284</v>
      </c>
      <c r="K208" s="4">
        <v>4</v>
      </c>
      <c r="L208" s="4" t="s">
        <v>46</v>
      </c>
      <c r="M208" s="4">
        <v>60</v>
      </c>
      <c r="N208" s="4">
        <v>4</v>
      </c>
      <c r="O208" s="4">
        <v>1</v>
      </c>
      <c r="P208" s="4" t="s">
        <v>47</v>
      </c>
      <c r="Q208" s="4">
        <v>2</v>
      </c>
      <c r="R208" s="4" t="s">
        <v>52</v>
      </c>
      <c r="S208" s="4">
        <v>2328</v>
      </c>
      <c r="T208" s="4">
        <v>12392</v>
      </c>
      <c r="U208" s="4">
        <v>1</v>
      </c>
      <c r="V208" s="4" t="s">
        <v>42</v>
      </c>
      <c r="W208" s="4" t="s">
        <v>35</v>
      </c>
      <c r="X208" s="4">
        <v>16</v>
      </c>
      <c r="Y208" s="4">
        <v>3</v>
      </c>
      <c r="Z208" s="4">
        <v>1</v>
      </c>
      <c r="AA208" s="4">
        <v>80</v>
      </c>
      <c r="AB208" s="4">
        <v>1</v>
      </c>
      <c r="AC208" s="4">
        <v>4</v>
      </c>
      <c r="AD208" s="4">
        <v>2</v>
      </c>
      <c r="AE208" s="4">
        <v>2</v>
      </c>
      <c r="AF208" s="4">
        <v>4</v>
      </c>
      <c r="AG208" s="4">
        <v>2</v>
      </c>
      <c r="AH208" s="4">
        <v>2</v>
      </c>
      <c r="AI208" s="4">
        <v>2</v>
      </c>
      <c r="AJ208" s="4"/>
      <c r="AK208" s="4"/>
      <c r="AL208" s="4"/>
      <c r="AM208" s="4"/>
      <c r="AN208" s="4"/>
      <c r="AO208" s="4"/>
    </row>
    <row r="209" spans="1:41" hidden="1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41" hidden="1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41" hidden="1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41" hidden="1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41" hidden="1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41" hidden="1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41" hidden="1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41" x14ac:dyDescent="0.3">
      <c r="A216" s="4">
        <v>30</v>
      </c>
      <c r="B216" s="4" t="s">
        <v>35</v>
      </c>
      <c r="C216" s="4" t="s">
        <v>36</v>
      </c>
      <c r="D216" s="4">
        <v>1005</v>
      </c>
      <c r="E216" s="4" t="s">
        <v>45</v>
      </c>
      <c r="F216" s="4">
        <v>3</v>
      </c>
      <c r="G216" s="4">
        <v>3</v>
      </c>
      <c r="H216" s="4" t="s">
        <v>60</v>
      </c>
      <c r="I216" s="4">
        <v>1</v>
      </c>
      <c r="J216" s="4">
        <v>297</v>
      </c>
      <c r="K216" s="4">
        <v>4</v>
      </c>
      <c r="L216" s="4" t="s">
        <v>39</v>
      </c>
      <c r="M216" s="4">
        <v>88</v>
      </c>
      <c r="N216" s="4">
        <v>3</v>
      </c>
      <c r="O216" s="4">
        <v>1</v>
      </c>
      <c r="P216" s="4" t="s">
        <v>47</v>
      </c>
      <c r="Q216" s="4">
        <v>1</v>
      </c>
      <c r="R216" s="4" t="s">
        <v>41</v>
      </c>
      <c r="S216" s="4">
        <v>2657</v>
      </c>
      <c r="T216" s="4">
        <v>8556</v>
      </c>
      <c r="U216" s="4">
        <v>5</v>
      </c>
      <c r="V216" s="4" t="s">
        <v>42</v>
      </c>
      <c r="W216" s="4" t="s">
        <v>35</v>
      </c>
      <c r="X216" s="4">
        <v>11</v>
      </c>
      <c r="Y216" s="4">
        <v>3</v>
      </c>
      <c r="Z216" s="4">
        <v>3</v>
      </c>
      <c r="AA216" s="4">
        <v>80</v>
      </c>
      <c r="AB216" s="4">
        <v>0</v>
      </c>
      <c r="AC216" s="4">
        <v>8</v>
      </c>
      <c r="AD216" s="4">
        <v>5</v>
      </c>
      <c r="AE216" s="4">
        <v>3</v>
      </c>
      <c r="AF216" s="4">
        <v>5</v>
      </c>
      <c r="AG216" s="4">
        <v>2</v>
      </c>
      <c r="AH216" s="4">
        <v>0</v>
      </c>
      <c r="AI216" s="4">
        <v>4</v>
      </c>
      <c r="AJ216" s="4"/>
      <c r="AK216" s="4"/>
      <c r="AL216" s="4"/>
      <c r="AM216" s="4"/>
      <c r="AN216" s="4"/>
      <c r="AO216" s="4"/>
    </row>
    <row r="217" spans="1:41" x14ac:dyDescent="0.3">
      <c r="A217" s="4">
        <v>41</v>
      </c>
      <c r="B217" s="4" t="s">
        <v>43</v>
      </c>
      <c r="C217" s="4" t="s">
        <v>36</v>
      </c>
      <c r="D217" s="4">
        <v>896</v>
      </c>
      <c r="E217" s="4" t="s">
        <v>37</v>
      </c>
      <c r="F217" s="4">
        <v>6</v>
      </c>
      <c r="G217" s="4">
        <v>3</v>
      </c>
      <c r="H217" s="4" t="s">
        <v>38</v>
      </c>
      <c r="I217" s="4">
        <v>1</v>
      </c>
      <c r="J217" s="4">
        <v>298</v>
      </c>
      <c r="K217" s="4">
        <v>4</v>
      </c>
      <c r="L217" s="4" t="s">
        <v>39</v>
      </c>
      <c r="M217" s="4">
        <v>75</v>
      </c>
      <c r="N217" s="4">
        <v>3</v>
      </c>
      <c r="O217" s="4">
        <v>3</v>
      </c>
      <c r="P217" s="4" t="s">
        <v>56</v>
      </c>
      <c r="Q217" s="4">
        <v>4</v>
      </c>
      <c r="R217" s="4" t="s">
        <v>41</v>
      </c>
      <c r="S217" s="4">
        <v>13591</v>
      </c>
      <c r="T217" s="4">
        <v>14674</v>
      </c>
      <c r="U217" s="4">
        <v>3</v>
      </c>
      <c r="V217" s="4" t="s">
        <v>42</v>
      </c>
      <c r="W217" s="4" t="s">
        <v>35</v>
      </c>
      <c r="X217" s="4">
        <v>18</v>
      </c>
      <c r="Y217" s="4">
        <v>3</v>
      </c>
      <c r="Z217" s="4">
        <v>3</v>
      </c>
      <c r="AA217" s="4">
        <v>80</v>
      </c>
      <c r="AB217" s="4">
        <v>0</v>
      </c>
      <c r="AC217" s="4">
        <v>16</v>
      </c>
      <c r="AD217" s="4">
        <v>3</v>
      </c>
      <c r="AE217" s="4">
        <v>3</v>
      </c>
      <c r="AF217" s="4">
        <v>1</v>
      </c>
      <c r="AG217" s="4">
        <v>0</v>
      </c>
      <c r="AH217" s="4">
        <v>0</v>
      </c>
      <c r="AI217" s="4">
        <v>0</v>
      </c>
      <c r="AJ217" s="4"/>
      <c r="AK217" s="4"/>
      <c r="AL217" s="4"/>
      <c r="AM217" s="4"/>
      <c r="AN217" s="4"/>
      <c r="AO217" s="4"/>
    </row>
    <row r="218" spans="1:41" hidden="1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41" hidden="1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41" hidden="1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41" hidden="1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41" hidden="1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41" hidden="1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41" x14ac:dyDescent="0.3">
      <c r="A224" s="4">
        <v>37</v>
      </c>
      <c r="B224" s="4" t="s">
        <v>43</v>
      </c>
      <c r="C224" s="4" t="s">
        <v>44</v>
      </c>
      <c r="D224" s="4">
        <v>663</v>
      </c>
      <c r="E224" s="4" t="s">
        <v>45</v>
      </c>
      <c r="F224" s="4">
        <v>11</v>
      </c>
      <c r="G224" s="4">
        <v>3</v>
      </c>
      <c r="H224" s="4" t="s">
        <v>49</v>
      </c>
      <c r="I224" s="4">
        <v>1</v>
      </c>
      <c r="J224" s="4">
        <v>306</v>
      </c>
      <c r="K224" s="4">
        <v>2</v>
      </c>
      <c r="L224" s="4" t="s">
        <v>46</v>
      </c>
      <c r="M224" s="4">
        <v>47</v>
      </c>
      <c r="N224" s="4">
        <v>3</v>
      </c>
      <c r="O224" s="4">
        <v>3</v>
      </c>
      <c r="P224" s="4" t="s">
        <v>58</v>
      </c>
      <c r="Q224" s="4">
        <v>4</v>
      </c>
      <c r="R224" s="4" t="s">
        <v>52</v>
      </c>
      <c r="S224" s="4">
        <v>12185</v>
      </c>
      <c r="T224" s="4">
        <v>10056</v>
      </c>
      <c r="U224" s="4">
        <v>1</v>
      </c>
      <c r="V224" s="4" t="s">
        <v>42</v>
      </c>
      <c r="W224" s="4" t="s">
        <v>35</v>
      </c>
      <c r="X224" s="4">
        <v>14</v>
      </c>
      <c r="Y224" s="4">
        <v>3</v>
      </c>
      <c r="Z224" s="4">
        <v>3</v>
      </c>
      <c r="AA224" s="4">
        <v>80</v>
      </c>
      <c r="AB224" s="4">
        <v>3</v>
      </c>
      <c r="AC224" s="4">
        <v>10</v>
      </c>
      <c r="AD224" s="4">
        <v>1</v>
      </c>
      <c r="AE224" s="4">
        <v>3</v>
      </c>
      <c r="AF224" s="4">
        <v>10</v>
      </c>
      <c r="AG224" s="4">
        <v>8</v>
      </c>
      <c r="AH224" s="4">
        <v>0</v>
      </c>
      <c r="AI224" s="4">
        <v>7</v>
      </c>
      <c r="AJ224" s="4"/>
      <c r="AK224" s="4"/>
      <c r="AL224" s="4"/>
      <c r="AM224" s="4"/>
      <c r="AN224" s="4"/>
      <c r="AO224" s="4"/>
    </row>
    <row r="225" spans="1:41" hidden="1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41" hidden="1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41" hidden="1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41" hidden="1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41" hidden="1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41" hidden="1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41" x14ac:dyDescent="0.3">
      <c r="A231" s="4">
        <v>29</v>
      </c>
      <c r="B231" s="4" t="s">
        <v>35</v>
      </c>
      <c r="C231" s="4" t="s">
        <v>36</v>
      </c>
      <c r="D231" s="4">
        <v>896</v>
      </c>
      <c r="E231" s="4" t="s">
        <v>45</v>
      </c>
      <c r="F231" s="4">
        <v>18</v>
      </c>
      <c r="G231" s="4">
        <v>1</v>
      </c>
      <c r="H231" s="4" t="s">
        <v>51</v>
      </c>
      <c r="I231" s="4">
        <v>1</v>
      </c>
      <c r="J231" s="4">
        <v>315</v>
      </c>
      <c r="K231" s="4">
        <v>3</v>
      </c>
      <c r="L231" s="4" t="s">
        <v>46</v>
      </c>
      <c r="M231" s="4">
        <v>86</v>
      </c>
      <c r="N231" s="4">
        <v>2</v>
      </c>
      <c r="O231" s="4">
        <v>1</v>
      </c>
      <c r="P231" s="4" t="s">
        <v>47</v>
      </c>
      <c r="Q231" s="4">
        <v>4</v>
      </c>
      <c r="R231" s="4" t="s">
        <v>41</v>
      </c>
      <c r="S231" s="4">
        <v>2389</v>
      </c>
      <c r="T231" s="4">
        <v>14961</v>
      </c>
      <c r="U231" s="4">
        <v>1</v>
      </c>
      <c r="V231" s="4" t="s">
        <v>42</v>
      </c>
      <c r="W231" s="4" t="s">
        <v>35</v>
      </c>
      <c r="X231" s="4">
        <v>13</v>
      </c>
      <c r="Y231" s="4">
        <v>3</v>
      </c>
      <c r="Z231" s="4">
        <v>3</v>
      </c>
      <c r="AA231" s="4">
        <v>80</v>
      </c>
      <c r="AB231" s="4">
        <v>0</v>
      </c>
      <c r="AC231" s="4">
        <v>4</v>
      </c>
      <c r="AD231" s="4">
        <v>3</v>
      </c>
      <c r="AE231" s="4">
        <v>2</v>
      </c>
      <c r="AF231" s="4">
        <v>4</v>
      </c>
      <c r="AG231" s="4">
        <v>3</v>
      </c>
      <c r="AH231" s="4">
        <v>0</v>
      </c>
      <c r="AI231" s="4">
        <v>1</v>
      </c>
      <c r="AJ231" s="4"/>
      <c r="AK231" s="4"/>
      <c r="AL231" s="4"/>
      <c r="AM231" s="4"/>
      <c r="AN231" s="4"/>
      <c r="AO231" s="4"/>
    </row>
    <row r="232" spans="1:41" hidden="1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41" hidden="1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41" hidden="1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41" hidden="1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41" x14ac:dyDescent="0.3">
      <c r="A236" s="4">
        <v>33</v>
      </c>
      <c r="B236" s="4" t="s">
        <v>35</v>
      </c>
      <c r="C236" s="4" t="s">
        <v>36</v>
      </c>
      <c r="D236" s="4">
        <v>813</v>
      </c>
      <c r="E236" s="4" t="s">
        <v>45</v>
      </c>
      <c r="F236" s="4">
        <v>14</v>
      </c>
      <c r="G236" s="4">
        <v>3</v>
      </c>
      <c r="H236" s="4" t="s">
        <v>51</v>
      </c>
      <c r="I236" s="4">
        <v>1</v>
      </c>
      <c r="J236" s="4">
        <v>325</v>
      </c>
      <c r="K236" s="4">
        <v>3</v>
      </c>
      <c r="L236" s="4" t="s">
        <v>46</v>
      </c>
      <c r="M236" s="4">
        <v>58</v>
      </c>
      <c r="N236" s="4">
        <v>3</v>
      </c>
      <c r="O236" s="4">
        <v>1</v>
      </c>
      <c r="P236" s="4" t="s">
        <v>50</v>
      </c>
      <c r="Q236" s="4">
        <v>4</v>
      </c>
      <c r="R236" s="4" t="s">
        <v>48</v>
      </c>
      <c r="S236" s="4">
        <v>2436</v>
      </c>
      <c r="T236" s="4">
        <v>22149</v>
      </c>
      <c r="U236" s="4">
        <v>5</v>
      </c>
      <c r="V236" s="4" t="s">
        <v>42</v>
      </c>
      <c r="W236" s="4" t="s">
        <v>35</v>
      </c>
      <c r="X236" s="4">
        <v>13</v>
      </c>
      <c r="Y236" s="4">
        <v>3</v>
      </c>
      <c r="Z236" s="4">
        <v>3</v>
      </c>
      <c r="AA236" s="4">
        <v>80</v>
      </c>
      <c r="AB236" s="4">
        <v>1</v>
      </c>
      <c r="AC236" s="4">
        <v>8</v>
      </c>
      <c r="AD236" s="4">
        <v>2</v>
      </c>
      <c r="AE236" s="4">
        <v>1</v>
      </c>
      <c r="AF236" s="4">
        <v>5</v>
      </c>
      <c r="AG236" s="4">
        <v>4</v>
      </c>
      <c r="AH236" s="4">
        <v>0</v>
      </c>
      <c r="AI236" s="4">
        <v>4</v>
      </c>
      <c r="AJ236" s="4"/>
      <c r="AK236" s="4"/>
      <c r="AL236" s="4"/>
      <c r="AM236" s="4"/>
      <c r="AN236" s="4"/>
      <c r="AO236" s="4"/>
    </row>
    <row r="237" spans="1:41" x14ac:dyDescent="0.3">
      <c r="A237" s="4">
        <v>43</v>
      </c>
      <c r="B237" s="4" t="s">
        <v>43</v>
      </c>
      <c r="C237" s="4" t="s">
        <v>36</v>
      </c>
      <c r="D237" s="4">
        <v>1034</v>
      </c>
      <c r="E237" s="4" t="s">
        <v>37</v>
      </c>
      <c r="F237" s="4">
        <v>16</v>
      </c>
      <c r="G237" s="4">
        <v>3</v>
      </c>
      <c r="H237" s="4" t="s">
        <v>59</v>
      </c>
      <c r="I237" s="4">
        <v>1</v>
      </c>
      <c r="J237" s="4">
        <v>327</v>
      </c>
      <c r="K237" s="4">
        <v>4</v>
      </c>
      <c r="L237" s="4" t="s">
        <v>39</v>
      </c>
      <c r="M237" s="4">
        <v>80</v>
      </c>
      <c r="N237" s="4">
        <v>3</v>
      </c>
      <c r="O237" s="4">
        <v>4</v>
      </c>
      <c r="P237" s="4" t="s">
        <v>56</v>
      </c>
      <c r="Q237" s="4">
        <v>4</v>
      </c>
      <c r="R237" s="4" t="s">
        <v>48</v>
      </c>
      <c r="S237" s="4">
        <v>16064</v>
      </c>
      <c r="T237" s="4">
        <v>7744</v>
      </c>
      <c r="U237" s="4">
        <v>5</v>
      </c>
      <c r="V237" s="4" t="s">
        <v>42</v>
      </c>
      <c r="W237" s="4" t="s">
        <v>35</v>
      </c>
      <c r="X237" s="4">
        <v>22</v>
      </c>
      <c r="Y237" s="4">
        <v>4</v>
      </c>
      <c r="Z237" s="4">
        <v>3</v>
      </c>
      <c r="AA237" s="4">
        <v>80</v>
      </c>
      <c r="AB237" s="4">
        <v>1</v>
      </c>
      <c r="AC237" s="4">
        <v>22</v>
      </c>
      <c r="AD237" s="4">
        <v>3</v>
      </c>
      <c r="AE237" s="4">
        <v>3</v>
      </c>
      <c r="AF237" s="4">
        <v>17</v>
      </c>
      <c r="AG237" s="4">
        <v>13</v>
      </c>
      <c r="AH237" s="4">
        <v>1</v>
      </c>
      <c r="AI237" s="4">
        <v>9</v>
      </c>
      <c r="AJ237" s="4"/>
      <c r="AK237" s="4"/>
      <c r="AL237" s="4"/>
      <c r="AM237" s="4"/>
      <c r="AN237" s="4"/>
      <c r="AO237" s="4"/>
    </row>
    <row r="238" spans="1:41" hidden="1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41" x14ac:dyDescent="0.3">
      <c r="A239" s="4">
        <v>52</v>
      </c>
      <c r="B239" s="4" t="s">
        <v>43</v>
      </c>
      <c r="C239" s="4" t="s">
        <v>55</v>
      </c>
      <c r="D239" s="4">
        <v>771</v>
      </c>
      <c r="E239" s="4" t="s">
        <v>37</v>
      </c>
      <c r="F239" s="4">
        <v>2</v>
      </c>
      <c r="G239" s="4">
        <v>4</v>
      </c>
      <c r="H239" s="4" t="s">
        <v>38</v>
      </c>
      <c r="I239" s="4">
        <v>1</v>
      </c>
      <c r="J239" s="4">
        <v>329</v>
      </c>
      <c r="K239" s="4">
        <v>1</v>
      </c>
      <c r="L239" s="4" t="s">
        <v>46</v>
      </c>
      <c r="M239" s="4">
        <v>79</v>
      </c>
      <c r="N239" s="4">
        <v>2</v>
      </c>
      <c r="O239" s="4">
        <v>5</v>
      </c>
      <c r="P239" s="4" t="s">
        <v>56</v>
      </c>
      <c r="Q239" s="4">
        <v>3</v>
      </c>
      <c r="R239" s="4" t="s">
        <v>41</v>
      </c>
      <c r="S239" s="4">
        <v>19068</v>
      </c>
      <c r="T239" s="4">
        <v>21030</v>
      </c>
      <c r="U239" s="4">
        <v>1</v>
      </c>
      <c r="V239" s="4" t="s">
        <v>42</v>
      </c>
      <c r="W239" s="4" t="s">
        <v>35</v>
      </c>
      <c r="X239" s="4">
        <v>18</v>
      </c>
      <c r="Y239" s="4">
        <v>3</v>
      </c>
      <c r="Z239" s="4">
        <v>4</v>
      </c>
      <c r="AA239" s="4">
        <v>80</v>
      </c>
      <c r="AB239" s="4">
        <v>0</v>
      </c>
      <c r="AC239" s="4">
        <v>33</v>
      </c>
      <c r="AD239" s="4">
        <v>2</v>
      </c>
      <c r="AE239" s="4">
        <v>4</v>
      </c>
      <c r="AF239" s="4">
        <v>33</v>
      </c>
      <c r="AG239" s="4">
        <v>7</v>
      </c>
      <c r="AH239" s="4">
        <v>15</v>
      </c>
      <c r="AI239" s="4">
        <v>12</v>
      </c>
      <c r="AJ239" s="4"/>
      <c r="AK239" s="4"/>
      <c r="AL239" s="4"/>
      <c r="AM239" s="4"/>
      <c r="AN239" s="4"/>
      <c r="AO239" s="4"/>
    </row>
    <row r="240" spans="1:41" hidden="1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41" x14ac:dyDescent="0.3">
      <c r="A241" s="4">
        <v>32</v>
      </c>
      <c r="B241" s="4" t="s">
        <v>35</v>
      </c>
      <c r="C241" s="4" t="s">
        <v>36</v>
      </c>
      <c r="D241" s="4">
        <v>515</v>
      </c>
      <c r="E241" s="4" t="s">
        <v>45</v>
      </c>
      <c r="F241" s="4">
        <v>1</v>
      </c>
      <c r="G241" s="4">
        <v>3</v>
      </c>
      <c r="H241" s="4" t="s">
        <v>38</v>
      </c>
      <c r="I241" s="4">
        <v>1</v>
      </c>
      <c r="J241" s="4">
        <v>331</v>
      </c>
      <c r="K241" s="4">
        <v>4</v>
      </c>
      <c r="L241" s="4" t="s">
        <v>46</v>
      </c>
      <c r="M241" s="4">
        <v>62</v>
      </c>
      <c r="N241" s="4">
        <v>2</v>
      </c>
      <c r="O241" s="4">
        <v>1</v>
      </c>
      <c r="P241" s="4" t="s">
        <v>50</v>
      </c>
      <c r="Q241" s="4">
        <v>3</v>
      </c>
      <c r="R241" s="4" t="s">
        <v>41</v>
      </c>
      <c r="S241" s="4">
        <v>3730</v>
      </c>
      <c r="T241" s="4">
        <v>9571</v>
      </c>
      <c r="U241" s="4">
        <v>0</v>
      </c>
      <c r="V241" s="4" t="s">
        <v>42</v>
      </c>
      <c r="W241" s="4" t="s">
        <v>35</v>
      </c>
      <c r="X241" s="4">
        <v>14</v>
      </c>
      <c r="Y241" s="4">
        <v>3</v>
      </c>
      <c r="Z241" s="4">
        <v>4</v>
      </c>
      <c r="AA241" s="4">
        <v>80</v>
      </c>
      <c r="AB241" s="4">
        <v>0</v>
      </c>
      <c r="AC241" s="4">
        <v>4</v>
      </c>
      <c r="AD241" s="4">
        <v>2</v>
      </c>
      <c r="AE241" s="4">
        <v>1</v>
      </c>
      <c r="AF241" s="4">
        <v>3</v>
      </c>
      <c r="AG241" s="4">
        <v>2</v>
      </c>
      <c r="AH241" s="4">
        <v>1</v>
      </c>
      <c r="AI241" s="4">
        <v>2</v>
      </c>
      <c r="AJ241" s="4"/>
      <c r="AK241" s="4"/>
      <c r="AL241" s="4"/>
      <c r="AM241" s="4"/>
      <c r="AN241" s="4"/>
      <c r="AO241" s="4"/>
    </row>
    <row r="242" spans="1:41" hidden="1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41" hidden="1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41" hidden="1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41" hidden="1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41" hidden="1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41" hidden="1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41" hidden="1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41" hidden="1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41" hidden="1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41" hidden="1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41" hidden="1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41" hidden="1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41" hidden="1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41" x14ac:dyDescent="0.3">
      <c r="A255" s="4">
        <v>42</v>
      </c>
      <c r="B255" s="4" t="s">
        <v>43</v>
      </c>
      <c r="C255" s="4" t="s">
        <v>36</v>
      </c>
      <c r="D255" s="4">
        <v>916</v>
      </c>
      <c r="E255" s="4" t="s">
        <v>45</v>
      </c>
      <c r="F255" s="4">
        <v>17</v>
      </c>
      <c r="G255" s="4">
        <v>2</v>
      </c>
      <c r="H255" s="4" t="s">
        <v>38</v>
      </c>
      <c r="I255" s="4">
        <v>1</v>
      </c>
      <c r="J255" s="4">
        <v>347</v>
      </c>
      <c r="K255" s="4">
        <v>4</v>
      </c>
      <c r="L255" s="4" t="s">
        <v>39</v>
      </c>
      <c r="M255" s="4">
        <v>82</v>
      </c>
      <c r="N255" s="4">
        <v>4</v>
      </c>
      <c r="O255" s="4">
        <v>2</v>
      </c>
      <c r="P255" s="4" t="s">
        <v>47</v>
      </c>
      <c r="Q255" s="4">
        <v>1</v>
      </c>
      <c r="R255" s="4" t="s">
        <v>41</v>
      </c>
      <c r="S255" s="4">
        <v>6545</v>
      </c>
      <c r="T255" s="4">
        <v>23016</v>
      </c>
      <c r="U255" s="4">
        <v>3</v>
      </c>
      <c r="V255" s="4" t="s">
        <v>42</v>
      </c>
      <c r="W255" s="4" t="s">
        <v>35</v>
      </c>
      <c r="X255" s="4">
        <v>13</v>
      </c>
      <c r="Y255" s="4">
        <v>3</v>
      </c>
      <c r="Z255" s="4">
        <v>3</v>
      </c>
      <c r="AA255" s="4">
        <v>80</v>
      </c>
      <c r="AB255" s="4">
        <v>0</v>
      </c>
      <c r="AC255" s="4">
        <v>10</v>
      </c>
      <c r="AD255" s="4">
        <v>1</v>
      </c>
      <c r="AE255" s="4">
        <v>3</v>
      </c>
      <c r="AF255" s="4">
        <v>3</v>
      </c>
      <c r="AG255" s="4">
        <v>2</v>
      </c>
      <c r="AH255" s="4">
        <v>0</v>
      </c>
      <c r="AI255" s="4">
        <v>2</v>
      </c>
      <c r="AJ255" s="4"/>
      <c r="AK255" s="4"/>
      <c r="AL255" s="4"/>
      <c r="AM255" s="4"/>
      <c r="AN255" s="4"/>
      <c r="AO255" s="4"/>
    </row>
    <row r="256" spans="1:41" hidden="1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41" hidden="1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41" x14ac:dyDescent="0.3">
      <c r="A258" s="4">
        <v>42</v>
      </c>
      <c r="B258" s="4" t="s">
        <v>43</v>
      </c>
      <c r="C258" s="4" t="s">
        <v>36</v>
      </c>
      <c r="D258" s="4">
        <v>269</v>
      </c>
      <c r="E258" s="4" t="s">
        <v>45</v>
      </c>
      <c r="F258" s="4">
        <v>2</v>
      </c>
      <c r="G258" s="4">
        <v>3</v>
      </c>
      <c r="H258" s="4" t="s">
        <v>51</v>
      </c>
      <c r="I258" s="4">
        <v>1</v>
      </c>
      <c r="J258" s="4">
        <v>351</v>
      </c>
      <c r="K258" s="4">
        <v>4</v>
      </c>
      <c r="L258" s="4" t="s">
        <v>39</v>
      </c>
      <c r="M258" s="4">
        <v>56</v>
      </c>
      <c r="N258" s="4">
        <v>2</v>
      </c>
      <c r="O258" s="4">
        <v>1</v>
      </c>
      <c r="P258" s="4" t="s">
        <v>50</v>
      </c>
      <c r="Q258" s="4">
        <v>1</v>
      </c>
      <c r="R258" s="4" t="s">
        <v>52</v>
      </c>
      <c r="S258" s="4">
        <v>2593</v>
      </c>
      <c r="T258" s="4">
        <v>8007</v>
      </c>
      <c r="U258" s="4">
        <v>0</v>
      </c>
      <c r="V258" s="4" t="s">
        <v>42</v>
      </c>
      <c r="W258" s="4" t="s">
        <v>35</v>
      </c>
      <c r="X258" s="4">
        <v>11</v>
      </c>
      <c r="Y258" s="4">
        <v>3</v>
      </c>
      <c r="Z258" s="4">
        <v>3</v>
      </c>
      <c r="AA258" s="4">
        <v>80</v>
      </c>
      <c r="AB258" s="4">
        <v>1</v>
      </c>
      <c r="AC258" s="4">
        <v>10</v>
      </c>
      <c r="AD258" s="4">
        <v>4</v>
      </c>
      <c r="AE258" s="4">
        <v>3</v>
      </c>
      <c r="AF258" s="4">
        <v>9</v>
      </c>
      <c r="AG258" s="4">
        <v>6</v>
      </c>
      <c r="AH258" s="4">
        <v>7</v>
      </c>
      <c r="AI258" s="4">
        <v>8</v>
      </c>
      <c r="AJ258" s="4"/>
      <c r="AK258" s="4"/>
      <c r="AL258" s="4"/>
      <c r="AM258" s="4"/>
      <c r="AN258" s="4"/>
      <c r="AO258" s="4"/>
    </row>
    <row r="259" spans="1:41" hidden="1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41" hidden="1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41" hidden="1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41" hidden="1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41" hidden="1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41" hidden="1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41" x14ac:dyDescent="0.3">
      <c r="A265" s="4">
        <v>46</v>
      </c>
      <c r="B265" s="4" t="s">
        <v>43</v>
      </c>
      <c r="C265" s="4" t="s">
        <v>36</v>
      </c>
      <c r="D265" s="4">
        <v>488</v>
      </c>
      <c r="E265" s="4" t="s">
        <v>37</v>
      </c>
      <c r="F265" s="4">
        <v>2</v>
      </c>
      <c r="G265" s="4">
        <v>3</v>
      </c>
      <c r="H265" s="4" t="s">
        <v>60</v>
      </c>
      <c r="I265" s="4">
        <v>1</v>
      </c>
      <c r="J265" s="4">
        <v>363</v>
      </c>
      <c r="K265" s="4">
        <v>3</v>
      </c>
      <c r="L265" s="4" t="s">
        <v>39</v>
      </c>
      <c r="M265" s="4">
        <v>75</v>
      </c>
      <c r="N265" s="4">
        <v>1</v>
      </c>
      <c r="O265" s="4">
        <v>4</v>
      </c>
      <c r="P265" s="4" t="s">
        <v>56</v>
      </c>
      <c r="Q265" s="4">
        <v>2</v>
      </c>
      <c r="R265" s="4" t="s">
        <v>48</v>
      </c>
      <c r="S265" s="4">
        <v>16872</v>
      </c>
      <c r="T265" s="4">
        <v>14977</v>
      </c>
      <c r="U265" s="4">
        <v>3</v>
      </c>
      <c r="V265" s="4" t="s">
        <v>42</v>
      </c>
      <c r="W265" s="4" t="s">
        <v>35</v>
      </c>
      <c r="X265" s="4">
        <v>12</v>
      </c>
      <c r="Y265" s="4">
        <v>3</v>
      </c>
      <c r="Z265" s="4">
        <v>2</v>
      </c>
      <c r="AA265" s="4">
        <v>80</v>
      </c>
      <c r="AB265" s="4">
        <v>1</v>
      </c>
      <c r="AC265" s="4">
        <v>28</v>
      </c>
      <c r="AD265" s="4">
        <v>2</v>
      </c>
      <c r="AE265" s="4">
        <v>2</v>
      </c>
      <c r="AF265" s="4">
        <v>7</v>
      </c>
      <c r="AG265" s="4">
        <v>7</v>
      </c>
      <c r="AH265" s="4">
        <v>7</v>
      </c>
      <c r="AI265" s="4">
        <v>7</v>
      </c>
      <c r="AJ265" s="4"/>
      <c r="AK265" s="4"/>
      <c r="AL265" s="4"/>
      <c r="AM265" s="4"/>
      <c r="AN265" s="4"/>
      <c r="AO265" s="4"/>
    </row>
    <row r="266" spans="1:41" hidden="1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41" hidden="1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41" hidden="1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41" hidden="1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41" x14ac:dyDescent="0.3">
      <c r="A270" s="4">
        <v>45</v>
      </c>
      <c r="B270" s="4" t="s">
        <v>43</v>
      </c>
      <c r="C270" s="4" t="s">
        <v>36</v>
      </c>
      <c r="D270" s="4">
        <v>1385</v>
      </c>
      <c r="E270" s="4" t="s">
        <v>45</v>
      </c>
      <c r="F270" s="4">
        <v>20</v>
      </c>
      <c r="G270" s="4">
        <v>2</v>
      </c>
      <c r="H270" s="4" t="s">
        <v>51</v>
      </c>
      <c r="I270" s="4">
        <v>1</v>
      </c>
      <c r="J270" s="4">
        <v>372</v>
      </c>
      <c r="K270" s="4">
        <v>3</v>
      </c>
      <c r="L270" s="4" t="s">
        <v>46</v>
      </c>
      <c r="M270" s="4">
        <v>79</v>
      </c>
      <c r="N270" s="4">
        <v>3</v>
      </c>
      <c r="O270" s="4">
        <v>4</v>
      </c>
      <c r="P270" s="4" t="s">
        <v>54</v>
      </c>
      <c r="Q270" s="4">
        <v>4</v>
      </c>
      <c r="R270" s="4" t="s">
        <v>48</v>
      </c>
      <c r="S270" s="4">
        <v>13496</v>
      </c>
      <c r="T270" s="4">
        <v>7501</v>
      </c>
      <c r="U270" s="4">
        <v>0</v>
      </c>
      <c r="V270" s="4" t="s">
        <v>42</v>
      </c>
      <c r="W270" s="4" t="s">
        <v>35</v>
      </c>
      <c r="X270" s="4">
        <v>14</v>
      </c>
      <c r="Y270" s="4">
        <v>3</v>
      </c>
      <c r="Z270" s="4">
        <v>2</v>
      </c>
      <c r="AA270" s="4">
        <v>80</v>
      </c>
      <c r="AB270" s="4">
        <v>0</v>
      </c>
      <c r="AC270" s="4">
        <v>21</v>
      </c>
      <c r="AD270" s="4">
        <v>2</v>
      </c>
      <c r="AE270" s="4">
        <v>3</v>
      </c>
      <c r="AF270" s="4">
        <v>20</v>
      </c>
      <c r="AG270" s="4">
        <v>7</v>
      </c>
      <c r="AH270" s="4">
        <v>4</v>
      </c>
      <c r="AI270" s="4">
        <v>10</v>
      </c>
      <c r="AJ270" s="4"/>
      <c r="AK270" s="4"/>
      <c r="AL270" s="4"/>
      <c r="AM270" s="4"/>
      <c r="AN270" s="4"/>
      <c r="AO270" s="4"/>
    </row>
    <row r="271" spans="1:41" hidden="1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41" x14ac:dyDescent="0.3">
      <c r="A272" s="4">
        <v>55</v>
      </c>
      <c r="B272" s="4" t="s">
        <v>43</v>
      </c>
      <c r="C272" s="4" t="s">
        <v>36</v>
      </c>
      <c r="D272" s="4">
        <v>452</v>
      </c>
      <c r="E272" s="4" t="s">
        <v>45</v>
      </c>
      <c r="F272" s="4">
        <v>1</v>
      </c>
      <c r="G272" s="4">
        <v>3</v>
      </c>
      <c r="H272" s="4" t="s">
        <v>51</v>
      </c>
      <c r="I272" s="4">
        <v>1</v>
      </c>
      <c r="J272" s="4">
        <v>374</v>
      </c>
      <c r="K272" s="4">
        <v>4</v>
      </c>
      <c r="L272" s="4" t="s">
        <v>46</v>
      </c>
      <c r="M272" s="4">
        <v>81</v>
      </c>
      <c r="N272" s="4">
        <v>3</v>
      </c>
      <c r="O272" s="4">
        <v>5</v>
      </c>
      <c r="P272" s="4" t="s">
        <v>56</v>
      </c>
      <c r="Q272" s="4">
        <v>1</v>
      </c>
      <c r="R272" s="4" t="s">
        <v>41</v>
      </c>
      <c r="S272" s="4">
        <v>19045</v>
      </c>
      <c r="T272" s="4">
        <v>18938</v>
      </c>
      <c r="U272" s="4">
        <v>0</v>
      </c>
      <c r="V272" s="4" t="s">
        <v>42</v>
      </c>
      <c r="W272" s="4" t="s">
        <v>35</v>
      </c>
      <c r="X272" s="4">
        <v>14</v>
      </c>
      <c r="Y272" s="4">
        <v>3</v>
      </c>
      <c r="Z272" s="4">
        <v>3</v>
      </c>
      <c r="AA272" s="4">
        <v>80</v>
      </c>
      <c r="AB272" s="4">
        <v>0</v>
      </c>
      <c r="AC272" s="4">
        <v>37</v>
      </c>
      <c r="AD272" s="4">
        <v>2</v>
      </c>
      <c r="AE272" s="4">
        <v>3</v>
      </c>
      <c r="AF272" s="4">
        <v>36</v>
      </c>
      <c r="AG272" s="4">
        <v>10</v>
      </c>
      <c r="AH272" s="4">
        <v>4</v>
      </c>
      <c r="AI272" s="4">
        <v>13</v>
      </c>
      <c r="AJ272" s="4"/>
      <c r="AK272" s="4"/>
      <c r="AL272" s="4"/>
      <c r="AM272" s="4"/>
      <c r="AN272" s="4"/>
      <c r="AO272" s="4"/>
    </row>
    <row r="273" spans="1:41" x14ac:dyDescent="0.3">
      <c r="A273" s="4">
        <v>47</v>
      </c>
      <c r="B273" s="4" t="s">
        <v>35</v>
      </c>
      <c r="C273" s="4" t="s">
        <v>55</v>
      </c>
      <c r="D273" s="4">
        <v>666</v>
      </c>
      <c r="E273" s="4" t="s">
        <v>45</v>
      </c>
      <c r="F273" s="4">
        <v>29</v>
      </c>
      <c r="G273" s="4">
        <v>4</v>
      </c>
      <c r="H273" s="4" t="s">
        <v>38</v>
      </c>
      <c r="I273" s="4">
        <v>1</v>
      </c>
      <c r="J273" s="4">
        <v>376</v>
      </c>
      <c r="K273" s="4">
        <v>1</v>
      </c>
      <c r="L273" s="4" t="s">
        <v>46</v>
      </c>
      <c r="M273" s="4">
        <v>88</v>
      </c>
      <c r="N273" s="4">
        <v>3</v>
      </c>
      <c r="O273" s="4">
        <v>3</v>
      </c>
      <c r="P273" s="4" t="s">
        <v>56</v>
      </c>
      <c r="Q273" s="4">
        <v>2</v>
      </c>
      <c r="R273" s="4" t="s">
        <v>48</v>
      </c>
      <c r="S273" s="4">
        <v>11849</v>
      </c>
      <c r="T273" s="4">
        <v>10268</v>
      </c>
      <c r="U273" s="4">
        <v>1</v>
      </c>
      <c r="V273" s="4" t="s">
        <v>42</v>
      </c>
      <c r="W273" s="4" t="s">
        <v>35</v>
      </c>
      <c r="X273" s="4">
        <v>12</v>
      </c>
      <c r="Y273" s="4">
        <v>3</v>
      </c>
      <c r="Z273" s="4">
        <v>4</v>
      </c>
      <c r="AA273" s="4">
        <v>80</v>
      </c>
      <c r="AB273" s="4">
        <v>1</v>
      </c>
      <c r="AC273" s="4">
        <v>10</v>
      </c>
      <c r="AD273" s="4">
        <v>2</v>
      </c>
      <c r="AE273" s="4">
        <v>2</v>
      </c>
      <c r="AF273" s="4">
        <v>10</v>
      </c>
      <c r="AG273" s="4">
        <v>7</v>
      </c>
      <c r="AH273" s="4">
        <v>9</v>
      </c>
      <c r="AI273" s="4">
        <v>9</v>
      </c>
      <c r="AJ273" s="4"/>
      <c r="AK273" s="4"/>
      <c r="AL273" s="4"/>
      <c r="AM273" s="4"/>
      <c r="AN273" s="4"/>
      <c r="AO273" s="4"/>
    </row>
    <row r="274" spans="1:41" hidden="1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41" hidden="1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41" hidden="1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41" x14ac:dyDescent="0.3">
      <c r="A277" s="4">
        <v>37</v>
      </c>
      <c r="B277" s="4" t="s">
        <v>43</v>
      </c>
      <c r="C277" s="4" t="s">
        <v>55</v>
      </c>
      <c r="D277" s="4">
        <v>728</v>
      </c>
      <c r="E277" s="4" t="s">
        <v>45</v>
      </c>
      <c r="F277" s="4">
        <v>1</v>
      </c>
      <c r="G277" s="4">
        <v>4</v>
      </c>
      <c r="H277" s="4" t="s">
        <v>51</v>
      </c>
      <c r="I277" s="4">
        <v>1</v>
      </c>
      <c r="J277" s="4">
        <v>380</v>
      </c>
      <c r="K277" s="4">
        <v>1</v>
      </c>
      <c r="L277" s="4" t="s">
        <v>39</v>
      </c>
      <c r="M277" s="4">
        <v>80</v>
      </c>
      <c r="N277" s="4">
        <v>3</v>
      </c>
      <c r="O277" s="4">
        <v>3</v>
      </c>
      <c r="P277" s="4" t="s">
        <v>58</v>
      </c>
      <c r="Q277" s="4">
        <v>4</v>
      </c>
      <c r="R277" s="4" t="s">
        <v>52</v>
      </c>
      <c r="S277" s="4">
        <v>13603</v>
      </c>
      <c r="T277" s="4">
        <v>11677</v>
      </c>
      <c r="U277" s="4">
        <v>2</v>
      </c>
      <c r="V277" s="4" t="s">
        <v>42</v>
      </c>
      <c r="W277" s="4" t="s">
        <v>35</v>
      </c>
      <c r="X277" s="4">
        <v>18</v>
      </c>
      <c r="Y277" s="4">
        <v>3</v>
      </c>
      <c r="Z277" s="4">
        <v>1</v>
      </c>
      <c r="AA277" s="4">
        <v>80</v>
      </c>
      <c r="AB277" s="4">
        <v>2</v>
      </c>
      <c r="AC277" s="4">
        <v>15</v>
      </c>
      <c r="AD277" s="4">
        <v>2</v>
      </c>
      <c r="AE277" s="4">
        <v>3</v>
      </c>
      <c r="AF277" s="4">
        <v>5</v>
      </c>
      <c r="AG277" s="4">
        <v>2</v>
      </c>
      <c r="AH277" s="4">
        <v>0</v>
      </c>
      <c r="AI277" s="4">
        <v>2</v>
      </c>
      <c r="AJ277" s="4"/>
      <c r="AK277" s="4"/>
      <c r="AL277" s="4"/>
      <c r="AM277" s="4"/>
      <c r="AN277" s="4"/>
      <c r="AO277" s="4"/>
    </row>
    <row r="278" spans="1:41" hidden="1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41" x14ac:dyDescent="0.3">
      <c r="A279" s="4">
        <v>38</v>
      </c>
      <c r="B279" s="4" t="s">
        <v>43</v>
      </c>
      <c r="C279" s="4" t="s">
        <v>36</v>
      </c>
      <c r="D279" s="4">
        <v>322</v>
      </c>
      <c r="E279" s="4" t="s">
        <v>37</v>
      </c>
      <c r="F279" s="4">
        <v>7</v>
      </c>
      <c r="G279" s="4">
        <v>2</v>
      </c>
      <c r="H279" s="4" t="s">
        <v>51</v>
      </c>
      <c r="I279" s="4">
        <v>1</v>
      </c>
      <c r="J279" s="4">
        <v>382</v>
      </c>
      <c r="K279" s="4">
        <v>1</v>
      </c>
      <c r="L279" s="4" t="s">
        <v>39</v>
      </c>
      <c r="M279" s="4">
        <v>44</v>
      </c>
      <c r="N279" s="4">
        <v>4</v>
      </c>
      <c r="O279" s="4">
        <v>2</v>
      </c>
      <c r="P279" s="4" t="s">
        <v>40</v>
      </c>
      <c r="Q279" s="4">
        <v>1</v>
      </c>
      <c r="R279" s="4" t="s">
        <v>52</v>
      </c>
      <c r="S279" s="4">
        <v>5605</v>
      </c>
      <c r="T279" s="4">
        <v>19191</v>
      </c>
      <c r="U279" s="4">
        <v>1</v>
      </c>
      <c r="V279" s="4" t="s">
        <v>42</v>
      </c>
      <c r="W279" s="4" t="s">
        <v>35</v>
      </c>
      <c r="X279" s="4">
        <v>24</v>
      </c>
      <c r="Y279" s="4">
        <v>4</v>
      </c>
      <c r="Z279" s="4">
        <v>3</v>
      </c>
      <c r="AA279" s="4">
        <v>80</v>
      </c>
      <c r="AB279" s="4">
        <v>1</v>
      </c>
      <c r="AC279" s="4">
        <v>8</v>
      </c>
      <c r="AD279" s="4">
        <v>3</v>
      </c>
      <c r="AE279" s="4">
        <v>3</v>
      </c>
      <c r="AF279" s="4">
        <v>8</v>
      </c>
      <c r="AG279" s="4">
        <v>0</v>
      </c>
      <c r="AH279" s="4">
        <v>7</v>
      </c>
      <c r="AI279" s="4">
        <v>7</v>
      </c>
      <c r="AJ279" s="4"/>
      <c r="AK279" s="4"/>
      <c r="AL279" s="4"/>
      <c r="AM279" s="4"/>
      <c r="AN279" s="4"/>
      <c r="AO279" s="4"/>
    </row>
    <row r="280" spans="1:41" hidden="1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41" hidden="1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41" x14ac:dyDescent="0.3">
      <c r="A282" s="4">
        <v>53</v>
      </c>
      <c r="B282" s="4" t="s">
        <v>43</v>
      </c>
      <c r="C282" s="4" t="s">
        <v>36</v>
      </c>
      <c r="D282" s="4">
        <v>1070</v>
      </c>
      <c r="E282" s="4" t="s">
        <v>45</v>
      </c>
      <c r="F282" s="4">
        <v>3</v>
      </c>
      <c r="G282" s="4">
        <v>4</v>
      </c>
      <c r="H282" s="4" t="s">
        <v>51</v>
      </c>
      <c r="I282" s="4">
        <v>1</v>
      </c>
      <c r="J282" s="4">
        <v>386</v>
      </c>
      <c r="K282" s="4">
        <v>3</v>
      </c>
      <c r="L282" s="4" t="s">
        <v>46</v>
      </c>
      <c r="M282" s="4">
        <v>45</v>
      </c>
      <c r="N282" s="4">
        <v>3</v>
      </c>
      <c r="O282" s="4">
        <v>4</v>
      </c>
      <c r="P282" s="4" t="s">
        <v>58</v>
      </c>
      <c r="Q282" s="4">
        <v>3</v>
      </c>
      <c r="R282" s="4" t="s">
        <v>48</v>
      </c>
      <c r="S282" s="4">
        <v>17584</v>
      </c>
      <c r="T282" s="4">
        <v>21016</v>
      </c>
      <c r="U282" s="4">
        <v>3</v>
      </c>
      <c r="V282" s="4" t="s">
        <v>42</v>
      </c>
      <c r="W282" s="4" t="s">
        <v>35</v>
      </c>
      <c r="X282" s="4">
        <v>16</v>
      </c>
      <c r="Y282" s="4">
        <v>3</v>
      </c>
      <c r="Z282" s="4">
        <v>4</v>
      </c>
      <c r="AA282" s="4">
        <v>80</v>
      </c>
      <c r="AB282" s="4">
        <v>3</v>
      </c>
      <c r="AC282" s="4">
        <v>21</v>
      </c>
      <c r="AD282" s="4">
        <v>5</v>
      </c>
      <c r="AE282" s="4">
        <v>2</v>
      </c>
      <c r="AF282" s="4">
        <v>5</v>
      </c>
      <c r="AG282" s="4">
        <v>3</v>
      </c>
      <c r="AH282" s="4">
        <v>1</v>
      </c>
      <c r="AI282" s="4">
        <v>3</v>
      </c>
      <c r="AJ282" s="4"/>
      <c r="AK282" s="4"/>
      <c r="AL282" s="4"/>
      <c r="AM282" s="4"/>
      <c r="AN282" s="4"/>
      <c r="AO282" s="4"/>
    </row>
    <row r="283" spans="1:41" hidden="1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41" hidden="1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41" x14ac:dyDescent="0.3">
      <c r="A285" s="4">
        <v>55</v>
      </c>
      <c r="B285" s="4" t="s">
        <v>43</v>
      </c>
      <c r="C285" s="4" t="s">
        <v>36</v>
      </c>
      <c r="D285" s="4">
        <v>147</v>
      </c>
      <c r="E285" s="4" t="s">
        <v>45</v>
      </c>
      <c r="F285" s="4">
        <v>20</v>
      </c>
      <c r="G285" s="4">
        <v>2</v>
      </c>
      <c r="H285" s="4" t="s">
        <v>60</v>
      </c>
      <c r="I285" s="4">
        <v>1</v>
      </c>
      <c r="J285" s="4">
        <v>389</v>
      </c>
      <c r="K285" s="4">
        <v>2</v>
      </c>
      <c r="L285" s="4" t="s">
        <v>46</v>
      </c>
      <c r="M285" s="4">
        <v>37</v>
      </c>
      <c r="N285" s="4">
        <v>3</v>
      </c>
      <c r="O285" s="4">
        <v>2</v>
      </c>
      <c r="P285" s="4" t="s">
        <v>50</v>
      </c>
      <c r="Q285" s="4">
        <v>4</v>
      </c>
      <c r="R285" s="4" t="s">
        <v>48</v>
      </c>
      <c r="S285" s="4">
        <v>5415</v>
      </c>
      <c r="T285" s="4">
        <v>15972</v>
      </c>
      <c r="U285" s="4">
        <v>3</v>
      </c>
      <c r="V285" s="4" t="s">
        <v>42</v>
      </c>
      <c r="W285" s="4" t="s">
        <v>35</v>
      </c>
      <c r="X285" s="4">
        <v>19</v>
      </c>
      <c r="Y285" s="4">
        <v>3</v>
      </c>
      <c r="Z285" s="4">
        <v>4</v>
      </c>
      <c r="AA285" s="4">
        <v>80</v>
      </c>
      <c r="AB285" s="4">
        <v>1</v>
      </c>
      <c r="AC285" s="4">
        <v>12</v>
      </c>
      <c r="AD285" s="4">
        <v>4</v>
      </c>
      <c r="AE285" s="4">
        <v>3</v>
      </c>
      <c r="AF285" s="4">
        <v>10</v>
      </c>
      <c r="AG285" s="4">
        <v>7</v>
      </c>
      <c r="AH285" s="4">
        <v>0</v>
      </c>
      <c r="AI285" s="4">
        <v>8</v>
      </c>
      <c r="AJ285" s="4"/>
      <c r="AK285" s="4"/>
      <c r="AL285" s="4"/>
      <c r="AM285" s="4"/>
      <c r="AN285" s="4"/>
      <c r="AO285" s="4"/>
    </row>
    <row r="286" spans="1:41" x14ac:dyDescent="0.3">
      <c r="A286" s="4">
        <v>26</v>
      </c>
      <c r="B286" s="4" t="s">
        <v>43</v>
      </c>
      <c r="C286" s="4" t="s">
        <v>44</v>
      </c>
      <c r="D286" s="4">
        <v>496</v>
      </c>
      <c r="E286" s="4" t="s">
        <v>45</v>
      </c>
      <c r="F286" s="4">
        <v>11</v>
      </c>
      <c r="G286" s="4">
        <v>2</v>
      </c>
      <c r="H286" s="4" t="s">
        <v>51</v>
      </c>
      <c r="I286" s="4">
        <v>1</v>
      </c>
      <c r="J286" s="4">
        <v>390</v>
      </c>
      <c r="K286" s="4">
        <v>1</v>
      </c>
      <c r="L286" s="4" t="s">
        <v>46</v>
      </c>
      <c r="M286" s="4">
        <v>60</v>
      </c>
      <c r="N286" s="4">
        <v>3</v>
      </c>
      <c r="O286" s="4">
        <v>2</v>
      </c>
      <c r="P286" s="4" t="s">
        <v>54</v>
      </c>
      <c r="Q286" s="4">
        <v>1</v>
      </c>
      <c r="R286" s="4" t="s">
        <v>48</v>
      </c>
      <c r="S286" s="4">
        <v>4741</v>
      </c>
      <c r="T286" s="4">
        <v>22722</v>
      </c>
      <c r="U286" s="4">
        <v>1</v>
      </c>
      <c r="V286" s="4" t="s">
        <v>42</v>
      </c>
      <c r="W286" s="4" t="s">
        <v>35</v>
      </c>
      <c r="X286" s="4">
        <v>13</v>
      </c>
      <c r="Y286" s="4">
        <v>3</v>
      </c>
      <c r="Z286" s="4">
        <v>3</v>
      </c>
      <c r="AA286" s="4">
        <v>80</v>
      </c>
      <c r="AB286" s="4">
        <v>1</v>
      </c>
      <c r="AC286" s="4">
        <v>5</v>
      </c>
      <c r="AD286" s="4">
        <v>3</v>
      </c>
      <c r="AE286" s="4">
        <v>3</v>
      </c>
      <c r="AF286" s="4">
        <v>5</v>
      </c>
      <c r="AG286" s="4">
        <v>3</v>
      </c>
      <c r="AH286" s="4">
        <v>3</v>
      </c>
      <c r="AI286" s="4">
        <v>3</v>
      </c>
      <c r="AJ286" s="4"/>
      <c r="AK286" s="4"/>
      <c r="AL286" s="4"/>
      <c r="AM286" s="4"/>
      <c r="AN286" s="4"/>
      <c r="AO286" s="4"/>
    </row>
    <row r="287" spans="1:41" hidden="1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41" x14ac:dyDescent="0.3">
      <c r="A288" s="4">
        <v>44</v>
      </c>
      <c r="B288" s="4" t="s">
        <v>35</v>
      </c>
      <c r="C288" s="4" t="s">
        <v>44</v>
      </c>
      <c r="D288" s="4">
        <v>920</v>
      </c>
      <c r="E288" s="4" t="s">
        <v>45</v>
      </c>
      <c r="F288" s="4">
        <v>24</v>
      </c>
      <c r="G288" s="4">
        <v>3</v>
      </c>
      <c r="H288" s="4" t="s">
        <v>38</v>
      </c>
      <c r="I288" s="4">
        <v>1</v>
      </c>
      <c r="J288" s="4">
        <v>392</v>
      </c>
      <c r="K288" s="4">
        <v>4</v>
      </c>
      <c r="L288" s="4" t="s">
        <v>46</v>
      </c>
      <c r="M288" s="4">
        <v>43</v>
      </c>
      <c r="N288" s="4">
        <v>3</v>
      </c>
      <c r="O288" s="4">
        <v>1</v>
      </c>
      <c r="P288" s="4" t="s">
        <v>50</v>
      </c>
      <c r="Q288" s="4">
        <v>3</v>
      </c>
      <c r="R288" s="4" t="s">
        <v>52</v>
      </c>
      <c r="S288" s="4">
        <v>3161</v>
      </c>
      <c r="T288" s="4">
        <v>19920</v>
      </c>
      <c r="U288" s="4">
        <v>3</v>
      </c>
      <c r="V288" s="4" t="s">
        <v>42</v>
      </c>
      <c r="W288" s="4" t="s">
        <v>35</v>
      </c>
      <c r="X288" s="4">
        <v>22</v>
      </c>
      <c r="Y288" s="4">
        <v>4</v>
      </c>
      <c r="Z288" s="4">
        <v>4</v>
      </c>
      <c r="AA288" s="4">
        <v>80</v>
      </c>
      <c r="AB288" s="4">
        <v>1</v>
      </c>
      <c r="AC288" s="4">
        <v>19</v>
      </c>
      <c r="AD288" s="4">
        <v>0</v>
      </c>
      <c r="AE288" s="4">
        <v>1</v>
      </c>
      <c r="AF288" s="4">
        <v>1</v>
      </c>
      <c r="AG288" s="4">
        <v>0</v>
      </c>
      <c r="AH288" s="4">
        <v>0</v>
      </c>
      <c r="AI288" s="4">
        <v>0</v>
      </c>
      <c r="AJ288" s="4"/>
      <c r="AK288" s="4"/>
      <c r="AL288" s="4"/>
      <c r="AM288" s="4"/>
      <c r="AN288" s="4"/>
      <c r="AO288" s="4"/>
    </row>
    <row r="289" spans="1:41" hidden="1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41" x14ac:dyDescent="0.3">
      <c r="A290" s="4">
        <v>26</v>
      </c>
      <c r="B290" s="4" t="s">
        <v>35</v>
      </c>
      <c r="C290" s="4" t="s">
        <v>36</v>
      </c>
      <c r="D290" s="4">
        <v>1449</v>
      </c>
      <c r="E290" s="4" t="s">
        <v>45</v>
      </c>
      <c r="F290" s="4">
        <v>16</v>
      </c>
      <c r="G290" s="4">
        <v>4</v>
      </c>
      <c r="H290" s="4" t="s">
        <v>51</v>
      </c>
      <c r="I290" s="4">
        <v>1</v>
      </c>
      <c r="J290" s="4">
        <v>394</v>
      </c>
      <c r="K290" s="4">
        <v>1</v>
      </c>
      <c r="L290" s="4" t="s">
        <v>46</v>
      </c>
      <c r="M290" s="4">
        <v>45</v>
      </c>
      <c r="N290" s="4">
        <v>3</v>
      </c>
      <c r="O290" s="4">
        <v>1</v>
      </c>
      <c r="P290" s="4" t="s">
        <v>50</v>
      </c>
      <c r="Q290" s="4">
        <v>2</v>
      </c>
      <c r="R290" s="4" t="s">
        <v>52</v>
      </c>
      <c r="S290" s="4">
        <v>2373</v>
      </c>
      <c r="T290" s="4">
        <v>14180</v>
      </c>
      <c r="U290" s="4">
        <v>2</v>
      </c>
      <c r="V290" s="4" t="s">
        <v>42</v>
      </c>
      <c r="W290" s="4" t="s">
        <v>35</v>
      </c>
      <c r="X290" s="4">
        <v>13</v>
      </c>
      <c r="Y290" s="4">
        <v>3</v>
      </c>
      <c r="Z290" s="4">
        <v>4</v>
      </c>
      <c r="AA290" s="4">
        <v>80</v>
      </c>
      <c r="AB290" s="4">
        <v>1</v>
      </c>
      <c r="AC290" s="4">
        <v>5</v>
      </c>
      <c r="AD290" s="4">
        <v>2</v>
      </c>
      <c r="AE290" s="4">
        <v>3</v>
      </c>
      <c r="AF290" s="4">
        <v>3</v>
      </c>
      <c r="AG290" s="4">
        <v>2</v>
      </c>
      <c r="AH290" s="4">
        <v>0</v>
      </c>
      <c r="AI290" s="4">
        <v>2</v>
      </c>
      <c r="AJ290" s="4"/>
      <c r="AK290" s="4"/>
      <c r="AL290" s="4"/>
      <c r="AM290" s="4"/>
      <c r="AN290" s="4"/>
      <c r="AO290" s="4"/>
    </row>
    <row r="291" spans="1:41" hidden="1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41" x14ac:dyDescent="0.3">
      <c r="A292" s="4">
        <v>49</v>
      </c>
      <c r="B292" s="4" t="s">
        <v>43</v>
      </c>
      <c r="C292" s="4" t="s">
        <v>44</v>
      </c>
      <c r="D292" s="4">
        <v>636</v>
      </c>
      <c r="E292" s="4" t="s">
        <v>45</v>
      </c>
      <c r="F292" s="4">
        <v>10</v>
      </c>
      <c r="G292" s="4">
        <v>4</v>
      </c>
      <c r="H292" s="4" t="s">
        <v>38</v>
      </c>
      <c r="I292" s="4">
        <v>1</v>
      </c>
      <c r="J292" s="4">
        <v>396</v>
      </c>
      <c r="K292" s="4">
        <v>3</v>
      </c>
      <c r="L292" s="4" t="s">
        <v>39</v>
      </c>
      <c r="M292" s="4">
        <v>35</v>
      </c>
      <c r="N292" s="4">
        <v>3</v>
      </c>
      <c r="O292" s="4">
        <v>5</v>
      </c>
      <c r="P292" s="4" t="s">
        <v>58</v>
      </c>
      <c r="Q292" s="4">
        <v>1</v>
      </c>
      <c r="R292" s="4" t="s">
        <v>41</v>
      </c>
      <c r="S292" s="4">
        <v>18665</v>
      </c>
      <c r="T292" s="4">
        <v>25594</v>
      </c>
      <c r="U292" s="4">
        <v>9</v>
      </c>
      <c r="V292" s="4" t="s">
        <v>42</v>
      </c>
      <c r="W292" s="4" t="s">
        <v>35</v>
      </c>
      <c r="X292" s="4">
        <v>11</v>
      </c>
      <c r="Y292" s="4">
        <v>3</v>
      </c>
      <c r="Z292" s="4">
        <v>4</v>
      </c>
      <c r="AA292" s="4">
        <v>80</v>
      </c>
      <c r="AB292" s="4">
        <v>0</v>
      </c>
      <c r="AC292" s="4">
        <v>22</v>
      </c>
      <c r="AD292" s="4">
        <v>4</v>
      </c>
      <c r="AE292" s="4">
        <v>3</v>
      </c>
      <c r="AF292" s="4">
        <v>3</v>
      </c>
      <c r="AG292" s="4">
        <v>2</v>
      </c>
      <c r="AH292" s="4">
        <v>1</v>
      </c>
      <c r="AI292" s="4">
        <v>2</v>
      </c>
      <c r="AJ292" s="4"/>
      <c r="AK292" s="4"/>
      <c r="AL292" s="4"/>
      <c r="AM292" s="4"/>
      <c r="AN292" s="4"/>
      <c r="AO292" s="4"/>
    </row>
    <row r="293" spans="1:41" hidden="1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41" hidden="1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41" x14ac:dyDescent="0.3">
      <c r="A295" s="4">
        <v>26</v>
      </c>
      <c r="B295" s="4" t="s">
        <v>35</v>
      </c>
      <c r="C295" s="4" t="s">
        <v>36</v>
      </c>
      <c r="D295" s="4">
        <v>950</v>
      </c>
      <c r="E295" s="4" t="s">
        <v>37</v>
      </c>
      <c r="F295" s="4">
        <v>4</v>
      </c>
      <c r="G295" s="4">
        <v>4</v>
      </c>
      <c r="H295" s="4" t="s">
        <v>59</v>
      </c>
      <c r="I295" s="4">
        <v>1</v>
      </c>
      <c r="J295" s="4">
        <v>401</v>
      </c>
      <c r="K295" s="4">
        <v>4</v>
      </c>
      <c r="L295" s="4" t="s">
        <v>46</v>
      </c>
      <c r="M295" s="4">
        <v>48</v>
      </c>
      <c r="N295" s="4">
        <v>2</v>
      </c>
      <c r="O295" s="4">
        <v>2</v>
      </c>
      <c r="P295" s="4" t="s">
        <v>40</v>
      </c>
      <c r="Q295" s="4">
        <v>4</v>
      </c>
      <c r="R295" s="4" t="s">
        <v>41</v>
      </c>
      <c r="S295" s="4">
        <v>5828</v>
      </c>
      <c r="T295" s="4">
        <v>8450</v>
      </c>
      <c r="U295" s="4">
        <v>1</v>
      </c>
      <c r="V295" s="4" t="s">
        <v>42</v>
      </c>
      <c r="W295" s="4" t="s">
        <v>35</v>
      </c>
      <c r="X295" s="4">
        <v>12</v>
      </c>
      <c r="Y295" s="4">
        <v>3</v>
      </c>
      <c r="Z295" s="4">
        <v>2</v>
      </c>
      <c r="AA295" s="4">
        <v>80</v>
      </c>
      <c r="AB295" s="4">
        <v>0</v>
      </c>
      <c r="AC295" s="4">
        <v>8</v>
      </c>
      <c r="AD295" s="4">
        <v>0</v>
      </c>
      <c r="AE295" s="4">
        <v>3</v>
      </c>
      <c r="AF295" s="4">
        <v>8</v>
      </c>
      <c r="AG295" s="4">
        <v>7</v>
      </c>
      <c r="AH295" s="4">
        <v>7</v>
      </c>
      <c r="AI295" s="4">
        <v>4</v>
      </c>
      <c r="AJ295" s="4"/>
      <c r="AK295" s="4"/>
      <c r="AL295" s="4"/>
      <c r="AM295" s="4"/>
      <c r="AN295" s="4"/>
      <c r="AO295" s="4"/>
    </row>
    <row r="296" spans="1:41" x14ac:dyDescent="0.3">
      <c r="A296" s="4">
        <v>37</v>
      </c>
      <c r="B296" s="4" t="s">
        <v>43</v>
      </c>
      <c r="C296" s="4" t="s">
        <v>44</v>
      </c>
      <c r="D296" s="4">
        <v>889</v>
      </c>
      <c r="E296" s="4" t="s">
        <v>45</v>
      </c>
      <c r="F296" s="4">
        <v>9</v>
      </c>
      <c r="G296" s="4">
        <v>3</v>
      </c>
      <c r="H296" s="4" t="s">
        <v>51</v>
      </c>
      <c r="I296" s="4">
        <v>1</v>
      </c>
      <c r="J296" s="4">
        <v>403</v>
      </c>
      <c r="K296" s="4">
        <v>2</v>
      </c>
      <c r="L296" s="4" t="s">
        <v>46</v>
      </c>
      <c r="M296" s="4">
        <v>53</v>
      </c>
      <c r="N296" s="4">
        <v>3</v>
      </c>
      <c r="O296" s="4">
        <v>1</v>
      </c>
      <c r="P296" s="4" t="s">
        <v>47</v>
      </c>
      <c r="Q296" s="4">
        <v>4</v>
      </c>
      <c r="R296" s="4" t="s">
        <v>48</v>
      </c>
      <c r="S296" s="4">
        <v>2326</v>
      </c>
      <c r="T296" s="4">
        <v>11411</v>
      </c>
      <c r="U296" s="4">
        <v>1</v>
      </c>
      <c r="V296" s="4" t="s">
        <v>42</v>
      </c>
      <c r="W296" s="4" t="s">
        <v>35</v>
      </c>
      <c r="X296" s="4">
        <v>12</v>
      </c>
      <c r="Y296" s="4">
        <v>3</v>
      </c>
      <c r="Z296" s="4">
        <v>3</v>
      </c>
      <c r="AA296" s="4">
        <v>80</v>
      </c>
      <c r="AB296" s="4">
        <v>3</v>
      </c>
      <c r="AC296" s="4">
        <v>4</v>
      </c>
      <c r="AD296" s="4">
        <v>3</v>
      </c>
      <c r="AE296" s="4">
        <v>2</v>
      </c>
      <c r="AF296" s="4">
        <v>4</v>
      </c>
      <c r="AG296" s="4">
        <v>2</v>
      </c>
      <c r="AH296" s="4">
        <v>1</v>
      </c>
      <c r="AI296" s="4">
        <v>2</v>
      </c>
      <c r="AJ296" s="4"/>
      <c r="AK296" s="4"/>
      <c r="AL296" s="4"/>
      <c r="AM296" s="4"/>
      <c r="AN296" s="4"/>
      <c r="AO296" s="4"/>
    </row>
    <row r="297" spans="1:41" hidden="1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41" hidden="1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41" hidden="1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41" hidden="1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41" hidden="1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41" hidden="1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41" hidden="1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41" hidden="1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41" hidden="1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41" hidden="1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41" hidden="1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41" hidden="1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41" hidden="1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41" x14ac:dyDescent="0.3">
      <c r="A310" s="4">
        <v>58</v>
      </c>
      <c r="B310" s="4" t="s">
        <v>43</v>
      </c>
      <c r="C310" s="4" t="s">
        <v>55</v>
      </c>
      <c r="D310" s="4">
        <v>390</v>
      </c>
      <c r="E310" s="4" t="s">
        <v>45</v>
      </c>
      <c r="F310" s="4">
        <v>1</v>
      </c>
      <c r="G310" s="4">
        <v>4</v>
      </c>
      <c r="H310" s="4" t="s">
        <v>38</v>
      </c>
      <c r="I310" s="4">
        <v>1</v>
      </c>
      <c r="J310" s="4">
        <v>422</v>
      </c>
      <c r="K310" s="4">
        <v>4</v>
      </c>
      <c r="L310" s="4" t="s">
        <v>46</v>
      </c>
      <c r="M310" s="4">
        <v>32</v>
      </c>
      <c r="N310" s="4">
        <v>1</v>
      </c>
      <c r="O310" s="4">
        <v>2</v>
      </c>
      <c r="P310" s="4" t="s">
        <v>54</v>
      </c>
      <c r="Q310" s="4">
        <v>3</v>
      </c>
      <c r="R310" s="4" t="s">
        <v>52</v>
      </c>
      <c r="S310" s="4">
        <v>5660</v>
      </c>
      <c r="T310" s="4">
        <v>17056</v>
      </c>
      <c r="U310" s="4">
        <v>2</v>
      </c>
      <c r="V310" s="4" t="s">
        <v>42</v>
      </c>
      <c r="W310" s="4" t="s">
        <v>35</v>
      </c>
      <c r="X310" s="4">
        <v>13</v>
      </c>
      <c r="Y310" s="4">
        <v>3</v>
      </c>
      <c r="Z310" s="4">
        <v>4</v>
      </c>
      <c r="AA310" s="4">
        <v>80</v>
      </c>
      <c r="AB310" s="4">
        <v>1</v>
      </c>
      <c r="AC310" s="4">
        <v>12</v>
      </c>
      <c r="AD310" s="4">
        <v>2</v>
      </c>
      <c r="AE310" s="4">
        <v>3</v>
      </c>
      <c r="AF310" s="4">
        <v>5</v>
      </c>
      <c r="AG310" s="4">
        <v>3</v>
      </c>
      <c r="AH310" s="4">
        <v>1</v>
      </c>
      <c r="AI310" s="4">
        <v>2</v>
      </c>
      <c r="AJ310" s="4"/>
      <c r="AK310" s="4"/>
      <c r="AL310" s="4"/>
      <c r="AM310" s="4"/>
      <c r="AN310" s="4"/>
      <c r="AO310" s="4"/>
    </row>
    <row r="311" spans="1:41" x14ac:dyDescent="0.3">
      <c r="A311" s="4">
        <v>31</v>
      </c>
      <c r="B311" s="4" t="s">
        <v>43</v>
      </c>
      <c r="C311" s="4" t="s">
        <v>36</v>
      </c>
      <c r="D311" s="4">
        <v>691</v>
      </c>
      <c r="E311" s="4" t="s">
        <v>45</v>
      </c>
      <c r="F311" s="4">
        <v>5</v>
      </c>
      <c r="G311" s="4">
        <v>4</v>
      </c>
      <c r="H311" s="4" t="s">
        <v>60</v>
      </c>
      <c r="I311" s="4">
        <v>1</v>
      </c>
      <c r="J311" s="4">
        <v>423</v>
      </c>
      <c r="K311" s="4">
        <v>3</v>
      </c>
      <c r="L311" s="4" t="s">
        <v>46</v>
      </c>
      <c r="M311" s="4">
        <v>86</v>
      </c>
      <c r="N311" s="4">
        <v>3</v>
      </c>
      <c r="O311" s="4">
        <v>1</v>
      </c>
      <c r="P311" s="4" t="s">
        <v>47</v>
      </c>
      <c r="Q311" s="4">
        <v>4</v>
      </c>
      <c r="R311" s="4" t="s">
        <v>48</v>
      </c>
      <c r="S311" s="4">
        <v>4821</v>
      </c>
      <c r="T311" s="4">
        <v>10077</v>
      </c>
      <c r="U311" s="4">
        <v>0</v>
      </c>
      <c r="V311" s="4" t="s">
        <v>42</v>
      </c>
      <c r="W311" s="4" t="s">
        <v>35</v>
      </c>
      <c r="X311" s="4">
        <v>12</v>
      </c>
      <c r="Y311" s="4">
        <v>3</v>
      </c>
      <c r="Z311" s="4">
        <v>3</v>
      </c>
      <c r="AA311" s="4">
        <v>80</v>
      </c>
      <c r="AB311" s="4">
        <v>1</v>
      </c>
      <c r="AC311" s="4">
        <v>6</v>
      </c>
      <c r="AD311" s="4">
        <v>4</v>
      </c>
      <c r="AE311" s="4">
        <v>3</v>
      </c>
      <c r="AF311" s="4">
        <v>5</v>
      </c>
      <c r="AG311" s="4">
        <v>2</v>
      </c>
      <c r="AH311" s="4">
        <v>0</v>
      </c>
      <c r="AI311" s="4">
        <v>3</v>
      </c>
      <c r="AJ311" s="4"/>
      <c r="AK311" s="4"/>
      <c r="AL311" s="4"/>
      <c r="AM311" s="4"/>
      <c r="AN311" s="4"/>
      <c r="AO311" s="4"/>
    </row>
    <row r="312" spans="1:41" hidden="1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41" hidden="1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41" x14ac:dyDescent="0.3">
      <c r="A314" s="4">
        <v>31</v>
      </c>
      <c r="B314" s="4" t="s">
        <v>43</v>
      </c>
      <c r="C314" s="4" t="s">
        <v>36</v>
      </c>
      <c r="D314" s="4">
        <v>192</v>
      </c>
      <c r="E314" s="4" t="s">
        <v>45</v>
      </c>
      <c r="F314" s="4">
        <v>2</v>
      </c>
      <c r="G314" s="4">
        <v>4</v>
      </c>
      <c r="H314" s="4" t="s">
        <v>38</v>
      </c>
      <c r="I314" s="4">
        <v>1</v>
      </c>
      <c r="J314" s="4">
        <v>426</v>
      </c>
      <c r="K314" s="4">
        <v>3</v>
      </c>
      <c r="L314" s="4" t="s">
        <v>46</v>
      </c>
      <c r="M314" s="4">
        <v>32</v>
      </c>
      <c r="N314" s="4">
        <v>3</v>
      </c>
      <c r="O314" s="4">
        <v>1</v>
      </c>
      <c r="P314" s="4" t="s">
        <v>47</v>
      </c>
      <c r="Q314" s="4">
        <v>4</v>
      </c>
      <c r="R314" s="4" t="s">
        <v>52</v>
      </c>
      <c r="S314" s="4">
        <v>2695</v>
      </c>
      <c r="T314" s="4">
        <v>7747</v>
      </c>
      <c r="U314" s="4">
        <v>0</v>
      </c>
      <c r="V314" s="4" t="s">
        <v>42</v>
      </c>
      <c r="W314" s="4" t="s">
        <v>35</v>
      </c>
      <c r="X314" s="4">
        <v>18</v>
      </c>
      <c r="Y314" s="4">
        <v>3</v>
      </c>
      <c r="Z314" s="4">
        <v>2</v>
      </c>
      <c r="AA314" s="4">
        <v>80</v>
      </c>
      <c r="AB314" s="4">
        <v>1</v>
      </c>
      <c r="AC314" s="4">
        <v>3</v>
      </c>
      <c r="AD314" s="4">
        <v>2</v>
      </c>
      <c r="AE314" s="4">
        <v>1</v>
      </c>
      <c r="AF314" s="4">
        <v>2</v>
      </c>
      <c r="AG314" s="4">
        <v>2</v>
      </c>
      <c r="AH314" s="4">
        <v>2</v>
      </c>
      <c r="AI314" s="4">
        <v>2</v>
      </c>
      <c r="AJ314" s="4"/>
      <c r="AK314" s="4"/>
      <c r="AL314" s="4"/>
      <c r="AM314" s="4"/>
      <c r="AN314" s="4"/>
      <c r="AO314" s="4"/>
    </row>
    <row r="315" spans="1:41" hidden="1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41" x14ac:dyDescent="0.3">
      <c r="A316" s="4">
        <v>39</v>
      </c>
      <c r="B316" s="4" t="s">
        <v>43</v>
      </c>
      <c r="C316" s="4" t="s">
        <v>36</v>
      </c>
      <c r="D316" s="4">
        <v>117</v>
      </c>
      <c r="E316" s="4" t="s">
        <v>45</v>
      </c>
      <c r="F316" s="4">
        <v>10</v>
      </c>
      <c r="G316" s="4">
        <v>1</v>
      </c>
      <c r="H316" s="4" t="s">
        <v>51</v>
      </c>
      <c r="I316" s="4">
        <v>1</v>
      </c>
      <c r="J316" s="4">
        <v>429</v>
      </c>
      <c r="K316" s="4">
        <v>3</v>
      </c>
      <c r="L316" s="4" t="s">
        <v>46</v>
      </c>
      <c r="M316" s="4">
        <v>99</v>
      </c>
      <c r="N316" s="4">
        <v>3</v>
      </c>
      <c r="O316" s="4">
        <v>4</v>
      </c>
      <c r="P316" s="4" t="s">
        <v>56</v>
      </c>
      <c r="Q316" s="4">
        <v>1</v>
      </c>
      <c r="R316" s="4" t="s">
        <v>48</v>
      </c>
      <c r="S316" s="4">
        <v>17068</v>
      </c>
      <c r="T316" s="4">
        <v>5355</v>
      </c>
      <c r="U316" s="4">
        <v>1</v>
      </c>
      <c r="V316" s="4" t="s">
        <v>42</v>
      </c>
      <c r="W316" s="4" t="s">
        <v>35</v>
      </c>
      <c r="X316" s="4">
        <v>14</v>
      </c>
      <c r="Y316" s="4">
        <v>3</v>
      </c>
      <c r="Z316" s="4">
        <v>4</v>
      </c>
      <c r="AA316" s="4">
        <v>80</v>
      </c>
      <c r="AB316" s="4">
        <v>0</v>
      </c>
      <c r="AC316" s="4">
        <v>21</v>
      </c>
      <c r="AD316" s="4">
        <v>3</v>
      </c>
      <c r="AE316" s="4">
        <v>3</v>
      </c>
      <c r="AF316" s="4">
        <v>21</v>
      </c>
      <c r="AG316" s="4">
        <v>9</v>
      </c>
      <c r="AH316" s="4">
        <v>11</v>
      </c>
      <c r="AI316" s="4">
        <v>10</v>
      </c>
      <c r="AJ316" s="4"/>
      <c r="AK316" s="4"/>
      <c r="AL316" s="4"/>
      <c r="AM316" s="4"/>
      <c r="AN316" s="4"/>
      <c r="AO316" s="4"/>
    </row>
    <row r="317" spans="1:41" hidden="1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41" x14ac:dyDescent="0.3">
      <c r="A318" s="4">
        <v>49</v>
      </c>
      <c r="B318" s="4" t="s">
        <v>43</v>
      </c>
      <c r="C318" s="4" t="s">
        <v>36</v>
      </c>
      <c r="D318" s="4">
        <v>1091</v>
      </c>
      <c r="E318" s="4" t="s">
        <v>45</v>
      </c>
      <c r="F318" s="4">
        <v>1</v>
      </c>
      <c r="G318" s="4">
        <v>2</v>
      </c>
      <c r="H318" s="4" t="s">
        <v>60</v>
      </c>
      <c r="I318" s="4">
        <v>1</v>
      </c>
      <c r="J318" s="4">
        <v>431</v>
      </c>
      <c r="K318" s="4">
        <v>3</v>
      </c>
      <c r="L318" s="4" t="s">
        <v>39</v>
      </c>
      <c r="M318" s="4">
        <v>90</v>
      </c>
      <c r="N318" s="4">
        <v>2</v>
      </c>
      <c r="O318" s="4">
        <v>4</v>
      </c>
      <c r="P318" s="4" t="s">
        <v>54</v>
      </c>
      <c r="Q318" s="4">
        <v>3</v>
      </c>
      <c r="R318" s="4" t="s">
        <v>41</v>
      </c>
      <c r="S318" s="4">
        <v>13964</v>
      </c>
      <c r="T318" s="4">
        <v>17810</v>
      </c>
      <c r="U318" s="4">
        <v>7</v>
      </c>
      <c r="V318" s="4" t="s">
        <v>42</v>
      </c>
      <c r="W318" s="4" t="s">
        <v>35</v>
      </c>
      <c r="X318" s="4">
        <v>12</v>
      </c>
      <c r="Y318" s="4">
        <v>3</v>
      </c>
      <c r="Z318" s="4">
        <v>4</v>
      </c>
      <c r="AA318" s="4">
        <v>80</v>
      </c>
      <c r="AB318" s="4">
        <v>0</v>
      </c>
      <c r="AC318" s="4">
        <v>25</v>
      </c>
      <c r="AD318" s="4">
        <v>2</v>
      </c>
      <c r="AE318" s="4">
        <v>3</v>
      </c>
      <c r="AF318" s="4">
        <v>7</v>
      </c>
      <c r="AG318" s="4">
        <v>1</v>
      </c>
      <c r="AH318" s="4">
        <v>0</v>
      </c>
      <c r="AI318" s="4">
        <v>7</v>
      </c>
      <c r="AJ318" s="4"/>
      <c r="AK318" s="4"/>
      <c r="AL318" s="4"/>
      <c r="AM318" s="4"/>
      <c r="AN318" s="4"/>
      <c r="AO318" s="4"/>
    </row>
    <row r="319" spans="1:41" hidden="1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41" x14ac:dyDescent="0.3">
      <c r="A320" s="4">
        <v>27</v>
      </c>
      <c r="B320" s="4" t="s">
        <v>43</v>
      </c>
      <c r="C320" s="4" t="s">
        <v>36</v>
      </c>
      <c r="D320" s="4">
        <v>1220</v>
      </c>
      <c r="E320" s="4" t="s">
        <v>45</v>
      </c>
      <c r="F320" s="4">
        <v>5</v>
      </c>
      <c r="G320" s="4">
        <v>3</v>
      </c>
      <c r="H320" s="4" t="s">
        <v>38</v>
      </c>
      <c r="I320" s="4">
        <v>1</v>
      </c>
      <c r="J320" s="4">
        <v>434</v>
      </c>
      <c r="K320" s="4">
        <v>3</v>
      </c>
      <c r="L320" s="4" t="s">
        <v>39</v>
      </c>
      <c r="M320" s="4">
        <v>85</v>
      </c>
      <c r="N320" s="4">
        <v>3</v>
      </c>
      <c r="O320" s="4">
        <v>1</v>
      </c>
      <c r="P320" s="4" t="s">
        <v>47</v>
      </c>
      <c r="Q320" s="4">
        <v>2</v>
      </c>
      <c r="R320" s="4" t="s">
        <v>41</v>
      </c>
      <c r="S320" s="4">
        <v>2478</v>
      </c>
      <c r="T320" s="4">
        <v>20938</v>
      </c>
      <c r="U320" s="4">
        <v>1</v>
      </c>
      <c r="V320" s="4" t="s">
        <v>42</v>
      </c>
      <c r="W320" s="4" t="s">
        <v>35</v>
      </c>
      <c r="X320" s="4">
        <v>12</v>
      </c>
      <c r="Y320" s="4">
        <v>3</v>
      </c>
      <c r="Z320" s="4">
        <v>2</v>
      </c>
      <c r="AA320" s="4">
        <v>80</v>
      </c>
      <c r="AB320" s="4">
        <v>0</v>
      </c>
      <c r="AC320" s="4">
        <v>4</v>
      </c>
      <c r="AD320" s="4">
        <v>2</v>
      </c>
      <c r="AE320" s="4">
        <v>2</v>
      </c>
      <c r="AF320" s="4">
        <v>4</v>
      </c>
      <c r="AG320" s="4">
        <v>3</v>
      </c>
      <c r="AH320" s="4">
        <v>1</v>
      </c>
      <c r="AI320" s="4">
        <v>2</v>
      </c>
      <c r="AJ320" s="4"/>
      <c r="AK320" s="4"/>
      <c r="AL320" s="4"/>
      <c r="AM320" s="4"/>
      <c r="AN320" s="4"/>
      <c r="AO320" s="4"/>
    </row>
    <row r="321" spans="1:41" x14ac:dyDescent="0.3">
      <c r="A321" s="4">
        <v>32</v>
      </c>
      <c r="B321" s="4" t="s">
        <v>43</v>
      </c>
      <c r="C321" s="4" t="s">
        <v>36</v>
      </c>
      <c r="D321" s="4">
        <v>588</v>
      </c>
      <c r="E321" s="4" t="s">
        <v>37</v>
      </c>
      <c r="F321" s="4">
        <v>8</v>
      </c>
      <c r="G321" s="4">
        <v>2</v>
      </c>
      <c r="H321" s="4" t="s">
        <v>60</v>
      </c>
      <c r="I321" s="4">
        <v>1</v>
      </c>
      <c r="J321" s="4">
        <v>436</v>
      </c>
      <c r="K321" s="4">
        <v>3</v>
      </c>
      <c r="L321" s="4" t="s">
        <v>39</v>
      </c>
      <c r="M321" s="4">
        <v>65</v>
      </c>
      <c r="N321" s="4">
        <v>2</v>
      </c>
      <c r="O321" s="4">
        <v>2</v>
      </c>
      <c r="P321" s="4" t="s">
        <v>40</v>
      </c>
      <c r="Q321" s="4">
        <v>2</v>
      </c>
      <c r="R321" s="4" t="s">
        <v>48</v>
      </c>
      <c r="S321" s="4">
        <v>5228</v>
      </c>
      <c r="T321" s="4">
        <v>24624</v>
      </c>
      <c r="U321" s="4">
        <v>1</v>
      </c>
      <c r="V321" s="4" t="s">
        <v>42</v>
      </c>
      <c r="W321" s="4" t="s">
        <v>35</v>
      </c>
      <c r="X321" s="4">
        <v>11</v>
      </c>
      <c r="Y321" s="4">
        <v>3</v>
      </c>
      <c r="Z321" s="4">
        <v>4</v>
      </c>
      <c r="AA321" s="4">
        <v>80</v>
      </c>
      <c r="AB321" s="4">
        <v>0</v>
      </c>
      <c r="AC321" s="4">
        <v>13</v>
      </c>
      <c r="AD321" s="4">
        <v>2</v>
      </c>
      <c r="AE321" s="4">
        <v>3</v>
      </c>
      <c r="AF321" s="4">
        <v>13</v>
      </c>
      <c r="AG321" s="4">
        <v>12</v>
      </c>
      <c r="AH321" s="4">
        <v>11</v>
      </c>
      <c r="AI321" s="4">
        <v>9</v>
      </c>
      <c r="AJ321" s="4"/>
      <c r="AK321" s="4"/>
      <c r="AL321" s="4"/>
      <c r="AM321" s="4"/>
      <c r="AN321" s="4"/>
      <c r="AO321" s="4"/>
    </row>
    <row r="322" spans="1:41" x14ac:dyDescent="0.3">
      <c r="A322" s="4">
        <v>27</v>
      </c>
      <c r="B322" s="4" t="s">
        <v>43</v>
      </c>
      <c r="C322" s="4" t="s">
        <v>36</v>
      </c>
      <c r="D322" s="4">
        <v>1377</v>
      </c>
      <c r="E322" s="4" t="s">
        <v>37</v>
      </c>
      <c r="F322" s="4">
        <v>2</v>
      </c>
      <c r="G322" s="4">
        <v>3</v>
      </c>
      <c r="H322" s="4" t="s">
        <v>38</v>
      </c>
      <c r="I322" s="4">
        <v>1</v>
      </c>
      <c r="J322" s="4">
        <v>437</v>
      </c>
      <c r="K322" s="4">
        <v>4</v>
      </c>
      <c r="L322" s="4" t="s">
        <v>46</v>
      </c>
      <c r="M322" s="4">
        <v>74</v>
      </c>
      <c r="N322" s="4">
        <v>3</v>
      </c>
      <c r="O322" s="4">
        <v>2</v>
      </c>
      <c r="P322" s="4" t="s">
        <v>40</v>
      </c>
      <c r="Q322" s="4">
        <v>3</v>
      </c>
      <c r="R322" s="4" t="s">
        <v>41</v>
      </c>
      <c r="S322" s="4">
        <v>4478</v>
      </c>
      <c r="T322" s="4">
        <v>5242</v>
      </c>
      <c r="U322" s="4">
        <v>1</v>
      </c>
      <c r="V322" s="4" t="s">
        <v>42</v>
      </c>
      <c r="W322" s="4" t="s">
        <v>35</v>
      </c>
      <c r="X322" s="4">
        <v>11</v>
      </c>
      <c r="Y322" s="4">
        <v>3</v>
      </c>
      <c r="Z322" s="4">
        <v>1</v>
      </c>
      <c r="AA322" s="4">
        <v>80</v>
      </c>
      <c r="AB322" s="4">
        <v>0</v>
      </c>
      <c r="AC322" s="4">
        <v>5</v>
      </c>
      <c r="AD322" s="4">
        <v>3</v>
      </c>
      <c r="AE322" s="4">
        <v>3</v>
      </c>
      <c r="AF322" s="4">
        <v>5</v>
      </c>
      <c r="AG322" s="4">
        <v>4</v>
      </c>
      <c r="AH322" s="4">
        <v>0</v>
      </c>
      <c r="AI322" s="4">
        <v>4</v>
      </c>
      <c r="AJ322" s="4"/>
      <c r="AK322" s="4"/>
      <c r="AL322" s="4"/>
      <c r="AM322" s="4"/>
      <c r="AN322" s="4"/>
      <c r="AO322" s="4"/>
    </row>
    <row r="323" spans="1:41" hidden="1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41" hidden="1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41" x14ac:dyDescent="0.3">
      <c r="A325" s="4">
        <v>28</v>
      </c>
      <c r="B325" s="4" t="s">
        <v>35</v>
      </c>
      <c r="C325" s="4" t="s">
        <v>36</v>
      </c>
      <c r="D325" s="4">
        <v>1157</v>
      </c>
      <c r="E325" s="4" t="s">
        <v>45</v>
      </c>
      <c r="F325" s="4">
        <v>2</v>
      </c>
      <c r="G325" s="4">
        <v>4</v>
      </c>
      <c r="H325" s="4" t="s">
        <v>51</v>
      </c>
      <c r="I325" s="4">
        <v>1</v>
      </c>
      <c r="J325" s="4">
        <v>440</v>
      </c>
      <c r="K325" s="4">
        <v>1</v>
      </c>
      <c r="L325" s="4" t="s">
        <v>46</v>
      </c>
      <c r="M325" s="4">
        <v>84</v>
      </c>
      <c r="N325" s="4">
        <v>1</v>
      </c>
      <c r="O325" s="4">
        <v>1</v>
      </c>
      <c r="P325" s="4" t="s">
        <v>47</v>
      </c>
      <c r="Q325" s="4">
        <v>4</v>
      </c>
      <c r="R325" s="4" t="s">
        <v>48</v>
      </c>
      <c r="S325" s="4">
        <v>3464</v>
      </c>
      <c r="T325" s="4">
        <v>24737</v>
      </c>
      <c r="U325" s="4">
        <v>5</v>
      </c>
      <c r="V325" s="4" t="s">
        <v>42</v>
      </c>
      <c r="W325" s="4" t="s">
        <v>35</v>
      </c>
      <c r="X325" s="4">
        <v>13</v>
      </c>
      <c r="Y325" s="4">
        <v>3</v>
      </c>
      <c r="Z325" s="4">
        <v>4</v>
      </c>
      <c r="AA325" s="4">
        <v>80</v>
      </c>
      <c r="AB325" s="4">
        <v>0</v>
      </c>
      <c r="AC325" s="4">
        <v>5</v>
      </c>
      <c r="AD325" s="4">
        <v>4</v>
      </c>
      <c r="AE325" s="4">
        <v>2</v>
      </c>
      <c r="AF325" s="4">
        <v>3</v>
      </c>
      <c r="AG325" s="4">
        <v>2</v>
      </c>
      <c r="AH325" s="4">
        <v>2</v>
      </c>
      <c r="AI325" s="4">
        <v>2</v>
      </c>
      <c r="AJ325" s="4"/>
      <c r="AK325" s="4"/>
      <c r="AL325" s="4"/>
      <c r="AM325" s="4"/>
      <c r="AN325" s="4"/>
      <c r="AO325" s="4"/>
    </row>
    <row r="326" spans="1:41" hidden="1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41" hidden="1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41" hidden="1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41" x14ac:dyDescent="0.3">
      <c r="A329" s="4">
        <v>39</v>
      </c>
      <c r="B329" s="4" t="s">
        <v>35</v>
      </c>
      <c r="C329" s="4" t="s">
        <v>36</v>
      </c>
      <c r="D329" s="4">
        <v>1162</v>
      </c>
      <c r="E329" s="4" t="s">
        <v>37</v>
      </c>
      <c r="F329" s="4">
        <v>3</v>
      </c>
      <c r="G329" s="4">
        <v>2</v>
      </c>
      <c r="H329" s="4" t="s">
        <v>51</v>
      </c>
      <c r="I329" s="4">
        <v>1</v>
      </c>
      <c r="J329" s="4">
        <v>445</v>
      </c>
      <c r="K329" s="4">
        <v>4</v>
      </c>
      <c r="L329" s="4" t="s">
        <v>39</v>
      </c>
      <c r="M329" s="4">
        <v>41</v>
      </c>
      <c r="N329" s="4">
        <v>3</v>
      </c>
      <c r="O329" s="4">
        <v>2</v>
      </c>
      <c r="P329" s="4" t="s">
        <v>40</v>
      </c>
      <c r="Q329" s="4">
        <v>3</v>
      </c>
      <c r="R329" s="4" t="s">
        <v>48</v>
      </c>
      <c r="S329" s="4">
        <v>5238</v>
      </c>
      <c r="T329" s="4">
        <v>17778</v>
      </c>
      <c r="U329" s="4">
        <v>4</v>
      </c>
      <c r="V329" s="4" t="s">
        <v>42</v>
      </c>
      <c r="W329" s="4" t="s">
        <v>35</v>
      </c>
      <c r="X329" s="4">
        <v>18</v>
      </c>
      <c r="Y329" s="4">
        <v>3</v>
      </c>
      <c r="Z329" s="4">
        <v>1</v>
      </c>
      <c r="AA329" s="4">
        <v>80</v>
      </c>
      <c r="AB329" s="4">
        <v>0</v>
      </c>
      <c r="AC329" s="4">
        <v>12</v>
      </c>
      <c r="AD329" s="4">
        <v>3</v>
      </c>
      <c r="AE329" s="4">
        <v>2</v>
      </c>
      <c r="AF329" s="4">
        <v>1</v>
      </c>
      <c r="AG329" s="4">
        <v>0</v>
      </c>
      <c r="AH329" s="4">
        <v>0</v>
      </c>
      <c r="AI329" s="4">
        <v>0</v>
      </c>
      <c r="AJ329" s="4"/>
      <c r="AK329" s="4"/>
      <c r="AL329" s="4"/>
      <c r="AM329" s="4"/>
      <c r="AN329" s="4"/>
      <c r="AO329" s="4"/>
    </row>
    <row r="330" spans="1:41" hidden="1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41" hidden="1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41" hidden="1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41" x14ac:dyDescent="0.3">
      <c r="A333" s="4">
        <v>27</v>
      </c>
      <c r="B333" s="4" t="s">
        <v>43</v>
      </c>
      <c r="C333" s="4" t="s">
        <v>55</v>
      </c>
      <c r="D333" s="4">
        <v>210</v>
      </c>
      <c r="E333" s="4" t="s">
        <v>37</v>
      </c>
      <c r="F333" s="4">
        <v>1</v>
      </c>
      <c r="G333" s="4">
        <v>1</v>
      </c>
      <c r="H333" s="4" t="s">
        <v>59</v>
      </c>
      <c r="I333" s="4">
        <v>1</v>
      </c>
      <c r="J333" s="4">
        <v>449</v>
      </c>
      <c r="K333" s="4">
        <v>3</v>
      </c>
      <c r="L333" s="4" t="s">
        <v>46</v>
      </c>
      <c r="M333" s="4">
        <v>73</v>
      </c>
      <c r="N333" s="4">
        <v>3</v>
      </c>
      <c r="O333" s="4">
        <v>2</v>
      </c>
      <c r="P333" s="4" t="s">
        <v>40</v>
      </c>
      <c r="Q333" s="4">
        <v>2</v>
      </c>
      <c r="R333" s="4" t="s">
        <v>48</v>
      </c>
      <c r="S333" s="4">
        <v>6349</v>
      </c>
      <c r="T333" s="4">
        <v>22107</v>
      </c>
      <c r="U333" s="4">
        <v>0</v>
      </c>
      <c r="V333" s="4" t="s">
        <v>42</v>
      </c>
      <c r="W333" s="4" t="s">
        <v>35</v>
      </c>
      <c r="X333" s="4">
        <v>13</v>
      </c>
      <c r="Y333" s="4">
        <v>3</v>
      </c>
      <c r="Z333" s="4">
        <v>4</v>
      </c>
      <c r="AA333" s="4">
        <v>80</v>
      </c>
      <c r="AB333" s="4">
        <v>1</v>
      </c>
      <c r="AC333" s="4">
        <v>6</v>
      </c>
      <c r="AD333" s="4">
        <v>0</v>
      </c>
      <c r="AE333" s="4">
        <v>3</v>
      </c>
      <c r="AF333" s="4">
        <v>5</v>
      </c>
      <c r="AG333" s="4">
        <v>4</v>
      </c>
      <c r="AH333" s="4">
        <v>1</v>
      </c>
      <c r="AI333" s="4">
        <v>4</v>
      </c>
      <c r="AJ333" s="4"/>
      <c r="AK333" s="4"/>
      <c r="AL333" s="4"/>
      <c r="AM333" s="4"/>
      <c r="AN333" s="4"/>
      <c r="AO333" s="4"/>
    </row>
    <row r="334" spans="1:41" hidden="1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41" hidden="1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41" hidden="1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41" x14ac:dyDescent="0.3">
      <c r="A337" s="4">
        <v>40</v>
      </c>
      <c r="B337" s="4" t="s">
        <v>43</v>
      </c>
      <c r="C337" s="4" t="s">
        <v>36</v>
      </c>
      <c r="D337" s="4">
        <v>1124</v>
      </c>
      <c r="E337" s="4" t="s">
        <v>37</v>
      </c>
      <c r="F337" s="4">
        <v>1</v>
      </c>
      <c r="G337" s="4">
        <v>2</v>
      </c>
      <c r="H337" s="4" t="s">
        <v>51</v>
      </c>
      <c r="I337" s="4">
        <v>1</v>
      </c>
      <c r="J337" s="4">
        <v>453</v>
      </c>
      <c r="K337" s="4">
        <v>2</v>
      </c>
      <c r="L337" s="4" t="s">
        <v>46</v>
      </c>
      <c r="M337" s="4">
        <v>57</v>
      </c>
      <c r="N337" s="4">
        <v>1</v>
      </c>
      <c r="O337" s="4">
        <v>2</v>
      </c>
      <c r="P337" s="4" t="s">
        <v>40</v>
      </c>
      <c r="Q337" s="4">
        <v>4</v>
      </c>
      <c r="R337" s="4" t="s">
        <v>48</v>
      </c>
      <c r="S337" s="4">
        <v>7457</v>
      </c>
      <c r="T337" s="4">
        <v>13273</v>
      </c>
      <c r="U337" s="4">
        <v>2</v>
      </c>
      <c r="V337" s="4" t="s">
        <v>42</v>
      </c>
      <c r="W337" s="4" t="s">
        <v>35</v>
      </c>
      <c r="X337" s="4">
        <v>22</v>
      </c>
      <c r="Y337" s="4">
        <v>4</v>
      </c>
      <c r="Z337" s="4">
        <v>3</v>
      </c>
      <c r="AA337" s="4">
        <v>80</v>
      </c>
      <c r="AB337" s="4">
        <v>3</v>
      </c>
      <c r="AC337" s="4">
        <v>6</v>
      </c>
      <c r="AD337" s="4">
        <v>2</v>
      </c>
      <c r="AE337" s="4">
        <v>2</v>
      </c>
      <c r="AF337" s="4">
        <v>4</v>
      </c>
      <c r="AG337" s="4">
        <v>3</v>
      </c>
      <c r="AH337" s="4">
        <v>0</v>
      </c>
      <c r="AI337" s="4">
        <v>2</v>
      </c>
      <c r="AJ337" s="4"/>
      <c r="AK337" s="4"/>
      <c r="AL337" s="4"/>
      <c r="AM337" s="4"/>
      <c r="AN337" s="4"/>
      <c r="AO337" s="4"/>
    </row>
    <row r="338" spans="1:41" x14ac:dyDescent="0.3">
      <c r="A338" s="4">
        <v>29</v>
      </c>
      <c r="B338" s="4" t="s">
        <v>35</v>
      </c>
      <c r="C338" s="4" t="s">
        <v>36</v>
      </c>
      <c r="D338" s="4">
        <v>318</v>
      </c>
      <c r="E338" s="4" t="s">
        <v>45</v>
      </c>
      <c r="F338" s="4">
        <v>8</v>
      </c>
      <c r="G338" s="4">
        <v>4</v>
      </c>
      <c r="H338" s="4" t="s">
        <v>49</v>
      </c>
      <c r="I338" s="4">
        <v>1</v>
      </c>
      <c r="J338" s="4">
        <v>454</v>
      </c>
      <c r="K338" s="4">
        <v>2</v>
      </c>
      <c r="L338" s="4" t="s">
        <v>46</v>
      </c>
      <c r="M338" s="4">
        <v>77</v>
      </c>
      <c r="N338" s="4">
        <v>1</v>
      </c>
      <c r="O338" s="4">
        <v>1</v>
      </c>
      <c r="P338" s="4" t="s">
        <v>50</v>
      </c>
      <c r="Q338" s="4">
        <v>1</v>
      </c>
      <c r="R338" s="4" t="s">
        <v>48</v>
      </c>
      <c r="S338" s="4">
        <v>2119</v>
      </c>
      <c r="T338" s="4">
        <v>4759</v>
      </c>
      <c r="U338" s="4">
        <v>1</v>
      </c>
      <c r="V338" s="4" t="s">
        <v>42</v>
      </c>
      <c r="W338" s="4" t="s">
        <v>35</v>
      </c>
      <c r="X338" s="4">
        <v>11</v>
      </c>
      <c r="Y338" s="4">
        <v>3</v>
      </c>
      <c r="Z338" s="4">
        <v>4</v>
      </c>
      <c r="AA338" s="4">
        <v>80</v>
      </c>
      <c r="AB338" s="4">
        <v>0</v>
      </c>
      <c r="AC338" s="4">
        <v>7</v>
      </c>
      <c r="AD338" s="4">
        <v>4</v>
      </c>
      <c r="AE338" s="4">
        <v>2</v>
      </c>
      <c r="AF338" s="4">
        <v>7</v>
      </c>
      <c r="AG338" s="4">
        <v>7</v>
      </c>
      <c r="AH338" s="4">
        <v>0</v>
      </c>
      <c r="AI338" s="4">
        <v>7</v>
      </c>
      <c r="AJ338" s="4"/>
      <c r="AK338" s="4"/>
      <c r="AL338" s="4"/>
      <c r="AM338" s="4"/>
      <c r="AN338" s="4"/>
      <c r="AO338" s="4"/>
    </row>
    <row r="339" spans="1:41" hidden="1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41" hidden="1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41" hidden="1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41" hidden="1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41" x14ac:dyDescent="0.3">
      <c r="A343" s="4">
        <v>38</v>
      </c>
      <c r="B343" s="4" t="s">
        <v>43</v>
      </c>
      <c r="C343" s="4" t="s">
        <v>36</v>
      </c>
      <c r="D343" s="4">
        <v>343</v>
      </c>
      <c r="E343" s="4" t="s">
        <v>45</v>
      </c>
      <c r="F343" s="4">
        <v>15</v>
      </c>
      <c r="G343" s="4">
        <v>2</v>
      </c>
      <c r="H343" s="4" t="s">
        <v>38</v>
      </c>
      <c r="I343" s="4">
        <v>1</v>
      </c>
      <c r="J343" s="4">
        <v>461</v>
      </c>
      <c r="K343" s="4">
        <v>3</v>
      </c>
      <c r="L343" s="4" t="s">
        <v>46</v>
      </c>
      <c r="M343" s="4">
        <v>92</v>
      </c>
      <c r="N343" s="4">
        <v>2</v>
      </c>
      <c r="O343" s="4">
        <v>3</v>
      </c>
      <c r="P343" s="4" t="s">
        <v>58</v>
      </c>
      <c r="Q343" s="4">
        <v>4</v>
      </c>
      <c r="R343" s="4" t="s">
        <v>52</v>
      </c>
      <c r="S343" s="4">
        <v>11510</v>
      </c>
      <c r="T343" s="4">
        <v>15682</v>
      </c>
      <c r="U343" s="4">
        <v>0</v>
      </c>
      <c r="V343" s="4" t="s">
        <v>42</v>
      </c>
      <c r="W343" s="4" t="s">
        <v>35</v>
      </c>
      <c r="X343" s="4">
        <v>14</v>
      </c>
      <c r="Y343" s="4">
        <v>3</v>
      </c>
      <c r="Z343" s="4">
        <v>2</v>
      </c>
      <c r="AA343" s="4">
        <v>80</v>
      </c>
      <c r="AB343" s="4">
        <v>1</v>
      </c>
      <c r="AC343" s="4">
        <v>12</v>
      </c>
      <c r="AD343" s="4">
        <v>3</v>
      </c>
      <c r="AE343" s="4">
        <v>3</v>
      </c>
      <c r="AF343" s="4">
        <v>11</v>
      </c>
      <c r="AG343" s="4">
        <v>10</v>
      </c>
      <c r="AH343" s="4">
        <v>2</v>
      </c>
      <c r="AI343" s="4">
        <v>9</v>
      </c>
      <c r="AJ343" s="4"/>
      <c r="AK343" s="4"/>
      <c r="AL343" s="4"/>
      <c r="AM343" s="4"/>
      <c r="AN343" s="4"/>
      <c r="AO343" s="4"/>
    </row>
    <row r="344" spans="1:41" x14ac:dyDescent="0.3">
      <c r="A344" s="4">
        <v>31</v>
      </c>
      <c r="B344" s="4" t="s">
        <v>43</v>
      </c>
      <c r="C344" s="4" t="s">
        <v>36</v>
      </c>
      <c r="D344" s="4">
        <v>1232</v>
      </c>
      <c r="E344" s="4" t="s">
        <v>45</v>
      </c>
      <c r="F344" s="4">
        <v>7</v>
      </c>
      <c r="G344" s="4">
        <v>4</v>
      </c>
      <c r="H344" s="4" t="s">
        <v>51</v>
      </c>
      <c r="I344" s="4">
        <v>1</v>
      </c>
      <c r="J344" s="4">
        <v>462</v>
      </c>
      <c r="K344" s="4">
        <v>3</v>
      </c>
      <c r="L344" s="4" t="s">
        <v>39</v>
      </c>
      <c r="M344" s="4">
        <v>39</v>
      </c>
      <c r="N344" s="4">
        <v>3</v>
      </c>
      <c r="O344" s="4">
        <v>3</v>
      </c>
      <c r="P344" s="4" t="s">
        <v>53</v>
      </c>
      <c r="Q344" s="4">
        <v>4</v>
      </c>
      <c r="R344" s="4" t="s">
        <v>41</v>
      </c>
      <c r="S344" s="4">
        <v>7143</v>
      </c>
      <c r="T344" s="4">
        <v>25713</v>
      </c>
      <c r="U344" s="4">
        <v>1</v>
      </c>
      <c r="V344" s="4" t="s">
        <v>42</v>
      </c>
      <c r="W344" s="4" t="s">
        <v>35</v>
      </c>
      <c r="X344" s="4">
        <v>14</v>
      </c>
      <c r="Y344" s="4">
        <v>3</v>
      </c>
      <c r="Z344" s="4">
        <v>3</v>
      </c>
      <c r="AA344" s="4">
        <v>80</v>
      </c>
      <c r="AB344" s="4">
        <v>0</v>
      </c>
      <c r="AC344" s="4">
        <v>11</v>
      </c>
      <c r="AD344" s="4">
        <v>2</v>
      </c>
      <c r="AE344" s="4">
        <v>2</v>
      </c>
      <c r="AF344" s="4">
        <v>11</v>
      </c>
      <c r="AG344" s="4">
        <v>9</v>
      </c>
      <c r="AH344" s="4">
        <v>4</v>
      </c>
      <c r="AI344" s="4">
        <v>10</v>
      </c>
      <c r="AJ344" s="4"/>
      <c r="AK344" s="4"/>
      <c r="AL344" s="4"/>
      <c r="AM344" s="4"/>
      <c r="AN344" s="4"/>
      <c r="AO344" s="4"/>
    </row>
    <row r="345" spans="1:41" x14ac:dyDescent="0.3">
      <c r="A345" s="4">
        <v>29</v>
      </c>
      <c r="B345" s="4" t="s">
        <v>43</v>
      </c>
      <c r="C345" s="4" t="s">
        <v>36</v>
      </c>
      <c r="D345" s="4">
        <v>144</v>
      </c>
      <c r="E345" s="4" t="s">
        <v>37</v>
      </c>
      <c r="F345" s="4">
        <v>10</v>
      </c>
      <c r="G345" s="4">
        <v>1</v>
      </c>
      <c r="H345" s="4" t="s">
        <v>59</v>
      </c>
      <c r="I345" s="4">
        <v>1</v>
      </c>
      <c r="J345" s="4">
        <v>463</v>
      </c>
      <c r="K345" s="4">
        <v>4</v>
      </c>
      <c r="L345" s="4" t="s">
        <v>39</v>
      </c>
      <c r="M345" s="4">
        <v>39</v>
      </c>
      <c r="N345" s="4">
        <v>2</v>
      </c>
      <c r="O345" s="4">
        <v>2</v>
      </c>
      <c r="P345" s="4" t="s">
        <v>40</v>
      </c>
      <c r="Q345" s="4">
        <v>2</v>
      </c>
      <c r="R345" s="4" t="s">
        <v>52</v>
      </c>
      <c r="S345" s="4">
        <v>8268</v>
      </c>
      <c r="T345" s="4">
        <v>11866</v>
      </c>
      <c r="U345" s="4">
        <v>1</v>
      </c>
      <c r="V345" s="4" t="s">
        <v>42</v>
      </c>
      <c r="W345" s="4" t="s">
        <v>35</v>
      </c>
      <c r="X345" s="4">
        <v>14</v>
      </c>
      <c r="Y345" s="4">
        <v>3</v>
      </c>
      <c r="Z345" s="4">
        <v>1</v>
      </c>
      <c r="AA345" s="4">
        <v>80</v>
      </c>
      <c r="AB345" s="4">
        <v>2</v>
      </c>
      <c r="AC345" s="4">
        <v>7</v>
      </c>
      <c r="AD345" s="4">
        <v>2</v>
      </c>
      <c r="AE345" s="4">
        <v>3</v>
      </c>
      <c r="AF345" s="4">
        <v>7</v>
      </c>
      <c r="AG345" s="4">
        <v>7</v>
      </c>
      <c r="AH345" s="4">
        <v>1</v>
      </c>
      <c r="AI345" s="4">
        <v>7</v>
      </c>
      <c r="AJ345" s="4"/>
      <c r="AK345" s="4"/>
      <c r="AL345" s="4"/>
      <c r="AM345" s="4"/>
      <c r="AN345" s="4"/>
      <c r="AO345" s="4"/>
    </row>
    <row r="346" spans="1:41" hidden="1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41" hidden="1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41" x14ac:dyDescent="0.3">
      <c r="A348" s="4">
        <v>41</v>
      </c>
      <c r="B348" s="4" t="s">
        <v>43</v>
      </c>
      <c r="C348" s="4" t="s">
        <v>36</v>
      </c>
      <c r="D348" s="4">
        <v>483</v>
      </c>
      <c r="E348" s="4" t="s">
        <v>45</v>
      </c>
      <c r="F348" s="4">
        <v>6</v>
      </c>
      <c r="G348" s="4">
        <v>3</v>
      </c>
      <c r="H348" s="4" t="s">
        <v>51</v>
      </c>
      <c r="I348" s="4">
        <v>1</v>
      </c>
      <c r="J348" s="4">
        <v>466</v>
      </c>
      <c r="K348" s="4">
        <v>4</v>
      </c>
      <c r="L348" s="4" t="s">
        <v>46</v>
      </c>
      <c r="M348" s="4">
        <v>95</v>
      </c>
      <c r="N348" s="4">
        <v>2</v>
      </c>
      <c r="O348" s="4">
        <v>2</v>
      </c>
      <c r="P348" s="4" t="s">
        <v>53</v>
      </c>
      <c r="Q348" s="4">
        <v>2</v>
      </c>
      <c r="R348" s="4" t="s">
        <v>41</v>
      </c>
      <c r="S348" s="4">
        <v>6032</v>
      </c>
      <c r="T348" s="4">
        <v>10110</v>
      </c>
      <c r="U348" s="4">
        <v>6</v>
      </c>
      <c r="V348" s="4" t="s">
        <v>42</v>
      </c>
      <c r="W348" s="4" t="s">
        <v>35</v>
      </c>
      <c r="X348" s="4">
        <v>15</v>
      </c>
      <c r="Y348" s="4">
        <v>3</v>
      </c>
      <c r="Z348" s="4">
        <v>4</v>
      </c>
      <c r="AA348" s="4">
        <v>80</v>
      </c>
      <c r="AB348" s="4">
        <v>0</v>
      </c>
      <c r="AC348" s="4">
        <v>8</v>
      </c>
      <c r="AD348" s="4">
        <v>3</v>
      </c>
      <c r="AE348" s="4">
        <v>3</v>
      </c>
      <c r="AF348" s="4">
        <v>5</v>
      </c>
      <c r="AG348" s="4">
        <v>4</v>
      </c>
      <c r="AH348" s="4">
        <v>1</v>
      </c>
      <c r="AI348" s="4">
        <v>2</v>
      </c>
      <c r="AJ348" s="4"/>
      <c r="AK348" s="4"/>
      <c r="AL348" s="4"/>
      <c r="AM348" s="4"/>
      <c r="AN348" s="4"/>
      <c r="AO348" s="4"/>
    </row>
    <row r="349" spans="1:41" hidden="1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41" hidden="1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41" hidden="1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41" x14ac:dyDescent="0.3">
      <c r="A352" s="4">
        <v>42</v>
      </c>
      <c r="B352" s="4" t="s">
        <v>43</v>
      </c>
      <c r="C352" s="4" t="s">
        <v>36</v>
      </c>
      <c r="D352" s="4">
        <v>544</v>
      </c>
      <c r="E352" s="4" t="s">
        <v>61</v>
      </c>
      <c r="F352" s="4">
        <v>2</v>
      </c>
      <c r="G352" s="4">
        <v>1</v>
      </c>
      <c r="H352" s="4" t="s">
        <v>60</v>
      </c>
      <c r="I352" s="4">
        <v>1</v>
      </c>
      <c r="J352" s="4">
        <v>470</v>
      </c>
      <c r="K352" s="4">
        <v>3</v>
      </c>
      <c r="L352" s="4" t="s">
        <v>46</v>
      </c>
      <c r="M352" s="4">
        <v>52</v>
      </c>
      <c r="N352" s="4">
        <v>3</v>
      </c>
      <c r="O352" s="4">
        <v>1</v>
      </c>
      <c r="P352" s="4" t="s">
        <v>61</v>
      </c>
      <c r="Q352" s="4">
        <v>3</v>
      </c>
      <c r="R352" s="4" t="s">
        <v>52</v>
      </c>
      <c r="S352" s="4">
        <v>2696</v>
      </c>
      <c r="T352" s="4">
        <v>24017</v>
      </c>
      <c r="U352" s="4">
        <v>0</v>
      </c>
      <c r="V352" s="4" t="s">
        <v>42</v>
      </c>
      <c r="W352" s="4" t="s">
        <v>35</v>
      </c>
      <c r="X352" s="4">
        <v>11</v>
      </c>
      <c r="Y352" s="4">
        <v>3</v>
      </c>
      <c r="Z352" s="4">
        <v>3</v>
      </c>
      <c r="AA352" s="4">
        <v>80</v>
      </c>
      <c r="AB352" s="4">
        <v>1</v>
      </c>
      <c r="AC352" s="4">
        <v>4</v>
      </c>
      <c r="AD352" s="4">
        <v>5</v>
      </c>
      <c r="AE352" s="4">
        <v>3</v>
      </c>
      <c r="AF352" s="4">
        <v>3</v>
      </c>
      <c r="AG352" s="4">
        <v>2</v>
      </c>
      <c r="AH352" s="4">
        <v>1</v>
      </c>
      <c r="AI352" s="4">
        <v>0</v>
      </c>
      <c r="AJ352" s="4"/>
      <c r="AK352" s="4"/>
      <c r="AL352" s="4"/>
      <c r="AM352" s="4"/>
      <c r="AN352" s="4"/>
      <c r="AO352" s="4"/>
    </row>
    <row r="353" spans="1:41" hidden="1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41" hidden="1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41" x14ac:dyDescent="0.3">
      <c r="A355" s="4">
        <v>37</v>
      </c>
      <c r="B355" s="4" t="s">
        <v>43</v>
      </c>
      <c r="C355" s="4" t="s">
        <v>36</v>
      </c>
      <c r="D355" s="4">
        <v>1319</v>
      </c>
      <c r="E355" s="4" t="s">
        <v>45</v>
      </c>
      <c r="F355" s="4">
        <v>6</v>
      </c>
      <c r="G355" s="4">
        <v>3</v>
      </c>
      <c r="H355" s="4" t="s">
        <v>51</v>
      </c>
      <c r="I355" s="4">
        <v>1</v>
      </c>
      <c r="J355" s="4">
        <v>474</v>
      </c>
      <c r="K355" s="4">
        <v>3</v>
      </c>
      <c r="L355" s="4" t="s">
        <v>46</v>
      </c>
      <c r="M355" s="4">
        <v>51</v>
      </c>
      <c r="N355" s="4">
        <v>4</v>
      </c>
      <c r="O355" s="4">
        <v>2</v>
      </c>
      <c r="P355" s="4" t="s">
        <v>47</v>
      </c>
      <c r="Q355" s="4">
        <v>1</v>
      </c>
      <c r="R355" s="4" t="s">
        <v>52</v>
      </c>
      <c r="S355" s="4">
        <v>5974</v>
      </c>
      <c r="T355" s="4">
        <v>17001</v>
      </c>
      <c r="U355" s="4">
        <v>4</v>
      </c>
      <c r="V355" s="4" t="s">
        <v>42</v>
      </c>
      <c r="W355" s="4" t="s">
        <v>35</v>
      </c>
      <c r="X355" s="4">
        <v>13</v>
      </c>
      <c r="Y355" s="4">
        <v>3</v>
      </c>
      <c r="Z355" s="4">
        <v>1</v>
      </c>
      <c r="AA355" s="4">
        <v>80</v>
      </c>
      <c r="AB355" s="4">
        <v>2</v>
      </c>
      <c r="AC355" s="4">
        <v>13</v>
      </c>
      <c r="AD355" s="4">
        <v>2</v>
      </c>
      <c r="AE355" s="4">
        <v>3</v>
      </c>
      <c r="AF355" s="4">
        <v>7</v>
      </c>
      <c r="AG355" s="4">
        <v>7</v>
      </c>
      <c r="AH355" s="4">
        <v>6</v>
      </c>
      <c r="AI355" s="4">
        <v>7</v>
      </c>
      <c r="AJ355" s="4"/>
      <c r="AK355" s="4"/>
      <c r="AL355" s="4"/>
      <c r="AM355" s="4"/>
      <c r="AN355" s="4"/>
      <c r="AO355" s="4"/>
    </row>
    <row r="356" spans="1:41" x14ac:dyDescent="0.3">
      <c r="A356" s="4">
        <v>30</v>
      </c>
      <c r="B356" s="4" t="s">
        <v>43</v>
      </c>
      <c r="C356" s="4" t="s">
        <v>55</v>
      </c>
      <c r="D356" s="4">
        <v>641</v>
      </c>
      <c r="E356" s="4" t="s">
        <v>37</v>
      </c>
      <c r="F356" s="4">
        <v>25</v>
      </c>
      <c r="G356" s="4">
        <v>2</v>
      </c>
      <c r="H356" s="4" t="s">
        <v>60</v>
      </c>
      <c r="I356" s="4">
        <v>1</v>
      </c>
      <c r="J356" s="4">
        <v>475</v>
      </c>
      <c r="K356" s="4">
        <v>4</v>
      </c>
      <c r="L356" s="4" t="s">
        <v>39</v>
      </c>
      <c r="M356" s="4">
        <v>85</v>
      </c>
      <c r="N356" s="4">
        <v>3</v>
      </c>
      <c r="O356" s="4">
        <v>2</v>
      </c>
      <c r="P356" s="4" t="s">
        <v>40</v>
      </c>
      <c r="Q356" s="4">
        <v>3</v>
      </c>
      <c r="R356" s="4" t="s">
        <v>48</v>
      </c>
      <c r="S356" s="4">
        <v>4736</v>
      </c>
      <c r="T356" s="4">
        <v>6069</v>
      </c>
      <c r="U356" s="4">
        <v>7</v>
      </c>
      <c r="V356" s="4" t="s">
        <v>42</v>
      </c>
      <c r="W356" s="4" t="s">
        <v>35</v>
      </c>
      <c r="X356" s="4">
        <v>12</v>
      </c>
      <c r="Y356" s="4">
        <v>3</v>
      </c>
      <c r="Z356" s="4">
        <v>2</v>
      </c>
      <c r="AA356" s="4">
        <v>80</v>
      </c>
      <c r="AB356" s="4">
        <v>1</v>
      </c>
      <c r="AC356" s="4">
        <v>4</v>
      </c>
      <c r="AD356" s="4">
        <v>2</v>
      </c>
      <c r="AE356" s="4">
        <v>4</v>
      </c>
      <c r="AF356" s="4">
        <v>2</v>
      </c>
      <c r="AG356" s="4">
        <v>2</v>
      </c>
      <c r="AH356" s="4">
        <v>2</v>
      </c>
      <c r="AI356" s="4">
        <v>2</v>
      </c>
      <c r="AJ356" s="4"/>
      <c r="AK356" s="4"/>
      <c r="AL356" s="4"/>
      <c r="AM356" s="4"/>
      <c r="AN356" s="4"/>
      <c r="AO356" s="4"/>
    </row>
    <row r="357" spans="1:41" hidden="1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41" hidden="1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41" x14ac:dyDescent="0.3">
      <c r="A359" s="4">
        <v>21</v>
      </c>
      <c r="B359" s="4" t="s">
        <v>35</v>
      </c>
      <c r="C359" s="4" t="s">
        <v>44</v>
      </c>
      <c r="D359" s="4">
        <v>756</v>
      </c>
      <c r="E359" s="4" t="s">
        <v>37</v>
      </c>
      <c r="F359" s="4">
        <v>1</v>
      </c>
      <c r="G359" s="4">
        <v>1</v>
      </c>
      <c r="H359" s="4" t="s">
        <v>60</v>
      </c>
      <c r="I359" s="4">
        <v>1</v>
      </c>
      <c r="J359" s="4">
        <v>478</v>
      </c>
      <c r="K359" s="4">
        <v>1</v>
      </c>
      <c r="L359" s="4" t="s">
        <v>39</v>
      </c>
      <c r="M359" s="4">
        <v>99</v>
      </c>
      <c r="N359" s="4">
        <v>2</v>
      </c>
      <c r="O359" s="4">
        <v>1</v>
      </c>
      <c r="P359" s="4" t="s">
        <v>57</v>
      </c>
      <c r="Q359" s="4">
        <v>2</v>
      </c>
      <c r="R359" s="4" t="s">
        <v>41</v>
      </c>
      <c r="S359" s="4">
        <v>2174</v>
      </c>
      <c r="T359" s="4">
        <v>9150</v>
      </c>
      <c r="U359" s="4">
        <v>1</v>
      </c>
      <c r="V359" s="4" t="s">
        <v>42</v>
      </c>
      <c r="W359" s="4" t="s">
        <v>35</v>
      </c>
      <c r="X359" s="4">
        <v>11</v>
      </c>
      <c r="Y359" s="4">
        <v>3</v>
      </c>
      <c r="Z359" s="4">
        <v>3</v>
      </c>
      <c r="AA359" s="4">
        <v>80</v>
      </c>
      <c r="AB359" s="4">
        <v>0</v>
      </c>
      <c r="AC359" s="4">
        <v>3</v>
      </c>
      <c r="AD359" s="4">
        <v>3</v>
      </c>
      <c r="AE359" s="4">
        <v>3</v>
      </c>
      <c r="AF359" s="4">
        <v>3</v>
      </c>
      <c r="AG359" s="4">
        <v>2</v>
      </c>
      <c r="AH359" s="4">
        <v>1</v>
      </c>
      <c r="AI359" s="4">
        <v>2</v>
      </c>
      <c r="AJ359" s="4"/>
      <c r="AK359" s="4"/>
      <c r="AL359" s="4"/>
      <c r="AM359" s="4"/>
      <c r="AN359" s="4"/>
      <c r="AO359" s="4"/>
    </row>
    <row r="360" spans="1:41" hidden="1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41" hidden="1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41" hidden="1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41" x14ac:dyDescent="0.3">
      <c r="A363" s="4">
        <v>40</v>
      </c>
      <c r="B363" s="4" t="s">
        <v>43</v>
      </c>
      <c r="C363" s="4" t="s">
        <v>36</v>
      </c>
      <c r="D363" s="4">
        <v>1171</v>
      </c>
      <c r="E363" s="4" t="s">
        <v>45</v>
      </c>
      <c r="F363" s="4">
        <v>10</v>
      </c>
      <c r="G363" s="4">
        <v>4</v>
      </c>
      <c r="H363" s="4" t="s">
        <v>38</v>
      </c>
      <c r="I363" s="4">
        <v>1</v>
      </c>
      <c r="J363" s="4">
        <v>483</v>
      </c>
      <c r="K363" s="4">
        <v>4</v>
      </c>
      <c r="L363" s="4" t="s">
        <v>39</v>
      </c>
      <c r="M363" s="4">
        <v>46</v>
      </c>
      <c r="N363" s="4">
        <v>4</v>
      </c>
      <c r="O363" s="4">
        <v>1</v>
      </c>
      <c r="P363" s="4" t="s">
        <v>50</v>
      </c>
      <c r="Q363" s="4">
        <v>3</v>
      </c>
      <c r="R363" s="4" t="s">
        <v>48</v>
      </c>
      <c r="S363" s="4">
        <v>2213</v>
      </c>
      <c r="T363" s="4">
        <v>22495</v>
      </c>
      <c r="U363" s="4">
        <v>3</v>
      </c>
      <c r="V363" s="4" t="s">
        <v>42</v>
      </c>
      <c r="W363" s="4" t="s">
        <v>35</v>
      </c>
      <c r="X363" s="4">
        <v>13</v>
      </c>
      <c r="Y363" s="4">
        <v>3</v>
      </c>
      <c r="Z363" s="4">
        <v>3</v>
      </c>
      <c r="AA363" s="4">
        <v>80</v>
      </c>
      <c r="AB363" s="4">
        <v>1</v>
      </c>
      <c r="AC363" s="4">
        <v>10</v>
      </c>
      <c r="AD363" s="4">
        <v>3</v>
      </c>
      <c r="AE363" s="4">
        <v>3</v>
      </c>
      <c r="AF363" s="4">
        <v>7</v>
      </c>
      <c r="AG363" s="4">
        <v>7</v>
      </c>
      <c r="AH363" s="4">
        <v>1</v>
      </c>
      <c r="AI363" s="4">
        <v>7</v>
      </c>
      <c r="AJ363" s="4"/>
      <c r="AK363" s="4"/>
      <c r="AL363" s="4"/>
      <c r="AM363" s="4"/>
      <c r="AN363" s="4"/>
      <c r="AO363" s="4"/>
    </row>
    <row r="364" spans="1:41" hidden="1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41" x14ac:dyDescent="0.3">
      <c r="A365" s="4">
        <v>33</v>
      </c>
      <c r="B365" s="4" t="s">
        <v>35</v>
      </c>
      <c r="C365" s="4" t="s">
        <v>36</v>
      </c>
      <c r="D365" s="4">
        <v>350</v>
      </c>
      <c r="E365" s="4" t="s">
        <v>37</v>
      </c>
      <c r="F365" s="4">
        <v>5</v>
      </c>
      <c r="G365" s="4">
        <v>3</v>
      </c>
      <c r="H365" s="4" t="s">
        <v>59</v>
      </c>
      <c r="I365" s="4">
        <v>1</v>
      </c>
      <c r="J365" s="4">
        <v>485</v>
      </c>
      <c r="K365" s="4">
        <v>4</v>
      </c>
      <c r="L365" s="4" t="s">
        <v>39</v>
      </c>
      <c r="M365" s="4">
        <v>34</v>
      </c>
      <c r="N365" s="4">
        <v>3</v>
      </c>
      <c r="O365" s="4">
        <v>1</v>
      </c>
      <c r="P365" s="4" t="s">
        <v>57</v>
      </c>
      <c r="Q365" s="4">
        <v>3</v>
      </c>
      <c r="R365" s="4" t="s">
        <v>41</v>
      </c>
      <c r="S365" s="4">
        <v>2851</v>
      </c>
      <c r="T365" s="4">
        <v>9150</v>
      </c>
      <c r="U365" s="4">
        <v>1</v>
      </c>
      <c r="V365" s="4" t="s">
        <v>42</v>
      </c>
      <c r="W365" s="4" t="s">
        <v>35</v>
      </c>
      <c r="X365" s="4">
        <v>13</v>
      </c>
      <c r="Y365" s="4">
        <v>3</v>
      </c>
      <c r="Z365" s="4">
        <v>2</v>
      </c>
      <c r="AA365" s="4">
        <v>80</v>
      </c>
      <c r="AB365" s="4">
        <v>0</v>
      </c>
      <c r="AC365" s="4">
        <v>1</v>
      </c>
      <c r="AD365" s="4">
        <v>2</v>
      </c>
      <c r="AE365" s="4">
        <v>3</v>
      </c>
      <c r="AF365" s="4">
        <v>1</v>
      </c>
      <c r="AG365" s="4">
        <v>0</v>
      </c>
      <c r="AH365" s="4">
        <v>0</v>
      </c>
      <c r="AI365" s="4">
        <v>0</v>
      </c>
      <c r="AJ365" s="4"/>
      <c r="AK365" s="4"/>
      <c r="AL365" s="4"/>
      <c r="AM365" s="4"/>
      <c r="AN365" s="4"/>
      <c r="AO365" s="4"/>
    </row>
    <row r="366" spans="1:41" hidden="1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41" hidden="1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41" hidden="1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41" hidden="1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41" x14ac:dyDescent="0.3">
      <c r="A370" s="4">
        <v>40</v>
      </c>
      <c r="B370" s="4" t="s">
        <v>35</v>
      </c>
      <c r="C370" s="4" t="s">
        <v>36</v>
      </c>
      <c r="D370" s="4">
        <v>575</v>
      </c>
      <c r="E370" s="4" t="s">
        <v>37</v>
      </c>
      <c r="F370" s="4">
        <v>22</v>
      </c>
      <c r="G370" s="4">
        <v>2</v>
      </c>
      <c r="H370" s="4" t="s">
        <v>59</v>
      </c>
      <c r="I370" s="4">
        <v>1</v>
      </c>
      <c r="J370" s="4">
        <v>492</v>
      </c>
      <c r="K370" s="4">
        <v>3</v>
      </c>
      <c r="L370" s="4" t="s">
        <v>46</v>
      </c>
      <c r="M370" s="4">
        <v>68</v>
      </c>
      <c r="N370" s="4">
        <v>2</v>
      </c>
      <c r="O370" s="4">
        <v>2</v>
      </c>
      <c r="P370" s="4" t="s">
        <v>40</v>
      </c>
      <c r="Q370" s="4">
        <v>3</v>
      </c>
      <c r="R370" s="4" t="s">
        <v>48</v>
      </c>
      <c r="S370" s="4">
        <v>6380</v>
      </c>
      <c r="T370" s="4">
        <v>6110</v>
      </c>
      <c r="U370" s="4">
        <v>2</v>
      </c>
      <c r="V370" s="4" t="s">
        <v>42</v>
      </c>
      <c r="W370" s="4" t="s">
        <v>35</v>
      </c>
      <c r="X370" s="4">
        <v>12</v>
      </c>
      <c r="Y370" s="4">
        <v>3</v>
      </c>
      <c r="Z370" s="4">
        <v>1</v>
      </c>
      <c r="AA370" s="4">
        <v>80</v>
      </c>
      <c r="AB370" s="4">
        <v>2</v>
      </c>
      <c r="AC370" s="4">
        <v>8</v>
      </c>
      <c r="AD370" s="4">
        <v>6</v>
      </c>
      <c r="AE370" s="4">
        <v>3</v>
      </c>
      <c r="AF370" s="4">
        <v>6</v>
      </c>
      <c r="AG370" s="4">
        <v>4</v>
      </c>
      <c r="AH370" s="4">
        <v>1</v>
      </c>
      <c r="AI370" s="4">
        <v>0</v>
      </c>
      <c r="AJ370" s="4"/>
      <c r="AK370" s="4"/>
      <c r="AL370" s="4"/>
      <c r="AM370" s="4"/>
      <c r="AN370" s="4"/>
      <c r="AO370" s="4"/>
    </row>
    <row r="371" spans="1:41" x14ac:dyDescent="0.3">
      <c r="A371" s="4">
        <v>31</v>
      </c>
      <c r="B371" s="4" t="s">
        <v>43</v>
      </c>
      <c r="C371" s="4" t="s">
        <v>36</v>
      </c>
      <c r="D371" s="4">
        <v>408</v>
      </c>
      <c r="E371" s="4" t="s">
        <v>45</v>
      </c>
      <c r="F371" s="4">
        <v>9</v>
      </c>
      <c r="G371" s="4">
        <v>4</v>
      </c>
      <c r="H371" s="4" t="s">
        <v>38</v>
      </c>
      <c r="I371" s="4">
        <v>1</v>
      </c>
      <c r="J371" s="4">
        <v>493</v>
      </c>
      <c r="K371" s="4">
        <v>3</v>
      </c>
      <c r="L371" s="4" t="s">
        <v>46</v>
      </c>
      <c r="M371" s="4">
        <v>42</v>
      </c>
      <c r="N371" s="4">
        <v>2</v>
      </c>
      <c r="O371" s="4">
        <v>1</v>
      </c>
      <c r="P371" s="4" t="s">
        <v>47</v>
      </c>
      <c r="Q371" s="4">
        <v>2</v>
      </c>
      <c r="R371" s="4" t="s">
        <v>41</v>
      </c>
      <c r="S371" s="4">
        <v>2657</v>
      </c>
      <c r="T371" s="4">
        <v>7551</v>
      </c>
      <c r="U371" s="4">
        <v>0</v>
      </c>
      <c r="V371" s="4" t="s">
        <v>42</v>
      </c>
      <c r="W371" s="4" t="s">
        <v>35</v>
      </c>
      <c r="X371" s="4">
        <v>16</v>
      </c>
      <c r="Y371" s="4">
        <v>3</v>
      </c>
      <c r="Z371" s="4">
        <v>4</v>
      </c>
      <c r="AA371" s="4">
        <v>80</v>
      </c>
      <c r="AB371" s="4">
        <v>0</v>
      </c>
      <c r="AC371" s="4">
        <v>3</v>
      </c>
      <c r="AD371" s="4">
        <v>5</v>
      </c>
      <c r="AE371" s="4">
        <v>3</v>
      </c>
      <c r="AF371" s="4">
        <v>2</v>
      </c>
      <c r="AG371" s="4">
        <v>2</v>
      </c>
      <c r="AH371" s="4">
        <v>2</v>
      </c>
      <c r="AI371" s="4">
        <v>2</v>
      </c>
      <c r="AJ371" s="4"/>
      <c r="AK371" s="4"/>
      <c r="AL371" s="4"/>
      <c r="AM371" s="4"/>
      <c r="AN371" s="4"/>
      <c r="AO371" s="4"/>
    </row>
    <row r="372" spans="1:41" hidden="1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41" hidden="1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41" hidden="1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41" hidden="1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41" hidden="1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41" hidden="1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41" hidden="1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41" hidden="1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41" x14ac:dyDescent="0.3">
      <c r="A380" s="4">
        <v>34</v>
      </c>
      <c r="B380" s="4" t="s">
        <v>35</v>
      </c>
      <c r="C380" s="4" t="s">
        <v>55</v>
      </c>
      <c r="D380" s="4">
        <v>1362</v>
      </c>
      <c r="E380" s="4" t="s">
        <v>37</v>
      </c>
      <c r="F380" s="4">
        <v>19</v>
      </c>
      <c r="G380" s="4">
        <v>3</v>
      </c>
      <c r="H380" s="4" t="s">
        <v>59</v>
      </c>
      <c r="I380" s="4">
        <v>1</v>
      </c>
      <c r="J380" s="4">
        <v>502</v>
      </c>
      <c r="K380" s="4">
        <v>1</v>
      </c>
      <c r="L380" s="4" t="s">
        <v>46</v>
      </c>
      <c r="M380" s="4">
        <v>67</v>
      </c>
      <c r="N380" s="4">
        <v>4</v>
      </c>
      <c r="O380" s="4">
        <v>2</v>
      </c>
      <c r="P380" s="4" t="s">
        <v>40</v>
      </c>
      <c r="Q380" s="4">
        <v>4</v>
      </c>
      <c r="R380" s="4" t="s">
        <v>41</v>
      </c>
      <c r="S380" s="4">
        <v>5304</v>
      </c>
      <c r="T380" s="4">
        <v>4652</v>
      </c>
      <c r="U380" s="4">
        <v>8</v>
      </c>
      <c r="V380" s="4" t="s">
        <v>42</v>
      </c>
      <c r="W380" s="4" t="s">
        <v>35</v>
      </c>
      <c r="X380" s="4">
        <v>13</v>
      </c>
      <c r="Y380" s="4">
        <v>3</v>
      </c>
      <c r="Z380" s="4">
        <v>2</v>
      </c>
      <c r="AA380" s="4">
        <v>80</v>
      </c>
      <c r="AB380" s="4">
        <v>0</v>
      </c>
      <c r="AC380" s="4">
        <v>9</v>
      </c>
      <c r="AD380" s="4">
        <v>3</v>
      </c>
      <c r="AE380" s="4">
        <v>2</v>
      </c>
      <c r="AF380" s="4">
        <v>5</v>
      </c>
      <c r="AG380" s="4">
        <v>2</v>
      </c>
      <c r="AH380" s="4">
        <v>0</v>
      </c>
      <c r="AI380" s="4">
        <v>4</v>
      </c>
      <c r="AJ380" s="4"/>
      <c r="AK380" s="4"/>
      <c r="AL380" s="4"/>
      <c r="AM380" s="4"/>
      <c r="AN380" s="4"/>
      <c r="AO380" s="4"/>
    </row>
    <row r="381" spans="1:41" x14ac:dyDescent="0.3">
      <c r="A381" s="4">
        <v>55</v>
      </c>
      <c r="B381" s="4" t="s">
        <v>43</v>
      </c>
      <c r="C381" s="4" t="s">
        <v>36</v>
      </c>
      <c r="D381" s="4">
        <v>1311</v>
      </c>
      <c r="E381" s="4" t="s">
        <v>45</v>
      </c>
      <c r="F381" s="4">
        <v>2</v>
      </c>
      <c r="G381" s="4">
        <v>3</v>
      </c>
      <c r="H381" s="4" t="s">
        <v>38</v>
      </c>
      <c r="I381" s="4">
        <v>1</v>
      </c>
      <c r="J381" s="4">
        <v>505</v>
      </c>
      <c r="K381" s="4">
        <v>3</v>
      </c>
      <c r="L381" s="4" t="s">
        <v>39</v>
      </c>
      <c r="M381" s="4">
        <v>97</v>
      </c>
      <c r="N381" s="4">
        <v>3</v>
      </c>
      <c r="O381" s="4">
        <v>4</v>
      </c>
      <c r="P381" s="4" t="s">
        <v>56</v>
      </c>
      <c r="Q381" s="4">
        <v>4</v>
      </c>
      <c r="R381" s="4" t="s">
        <v>41</v>
      </c>
      <c r="S381" s="4">
        <v>16659</v>
      </c>
      <c r="T381" s="4">
        <v>23258</v>
      </c>
      <c r="U381" s="4">
        <v>2</v>
      </c>
      <c r="V381" s="4" t="s">
        <v>42</v>
      </c>
      <c r="W381" s="4" t="s">
        <v>35</v>
      </c>
      <c r="X381" s="4">
        <v>13</v>
      </c>
      <c r="Y381" s="4">
        <v>3</v>
      </c>
      <c r="Z381" s="4">
        <v>3</v>
      </c>
      <c r="AA381" s="4">
        <v>80</v>
      </c>
      <c r="AB381" s="4">
        <v>0</v>
      </c>
      <c r="AC381" s="4">
        <v>30</v>
      </c>
      <c r="AD381" s="4">
        <v>2</v>
      </c>
      <c r="AE381" s="4">
        <v>3</v>
      </c>
      <c r="AF381" s="4">
        <v>5</v>
      </c>
      <c r="AG381" s="4">
        <v>4</v>
      </c>
      <c r="AH381" s="4">
        <v>1</v>
      </c>
      <c r="AI381" s="4">
        <v>2</v>
      </c>
      <c r="AJ381" s="4"/>
      <c r="AK381" s="4"/>
      <c r="AL381" s="4"/>
      <c r="AM381" s="4"/>
      <c r="AN381" s="4"/>
      <c r="AO381" s="4"/>
    </row>
    <row r="382" spans="1:41" x14ac:dyDescent="0.3">
      <c r="A382" s="4">
        <v>24</v>
      </c>
      <c r="B382" s="4" t="s">
        <v>43</v>
      </c>
      <c r="C382" s="4" t="s">
        <v>36</v>
      </c>
      <c r="D382" s="4">
        <v>1371</v>
      </c>
      <c r="E382" s="4" t="s">
        <v>37</v>
      </c>
      <c r="F382" s="4">
        <v>10</v>
      </c>
      <c r="G382" s="4">
        <v>4</v>
      </c>
      <c r="H382" s="4" t="s">
        <v>59</v>
      </c>
      <c r="I382" s="4">
        <v>1</v>
      </c>
      <c r="J382" s="4">
        <v>507</v>
      </c>
      <c r="K382" s="4">
        <v>4</v>
      </c>
      <c r="L382" s="4" t="s">
        <v>39</v>
      </c>
      <c r="M382" s="4">
        <v>77</v>
      </c>
      <c r="N382" s="4">
        <v>3</v>
      </c>
      <c r="O382" s="4">
        <v>2</v>
      </c>
      <c r="P382" s="4" t="s">
        <v>40</v>
      </c>
      <c r="Q382" s="4">
        <v>3</v>
      </c>
      <c r="R382" s="4" t="s">
        <v>52</v>
      </c>
      <c r="S382" s="4">
        <v>4260</v>
      </c>
      <c r="T382" s="4">
        <v>5915</v>
      </c>
      <c r="U382" s="4">
        <v>1</v>
      </c>
      <c r="V382" s="4" t="s">
        <v>42</v>
      </c>
      <c r="W382" s="4" t="s">
        <v>35</v>
      </c>
      <c r="X382" s="4">
        <v>12</v>
      </c>
      <c r="Y382" s="4">
        <v>3</v>
      </c>
      <c r="Z382" s="4">
        <v>4</v>
      </c>
      <c r="AA382" s="4">
        <v>80</v>
      </c>
      <c r="AB382" s="4">
        <v>1</v>
      </c>
      <c r="AC382" s="4">
        <v>5</v>
      </c>
      <c r="AD382" s="4">
        <v>2</v>
      </c>
      <c r="AE382" s="4">
        <v>4</v>
      </c>
      <c r="AF382" s="4">
        <v>5</v>
      </c>
      <c r="AG382" s="4">
        <v>2</v>
      </c>
      <c r="AH382" s="4">
        <v>0</v>
      </c>
      <c r="AI382" s="4">
        <v>3</v>
      </c>
      <c r="AJ382" s="4"/>
      <c r="AK382" s="4"/>
      <c r="AL382" s="4"/>
      <c r="AM382" s="4"/>
      <c r="AN382" s="4"/>
      <c r="AO382" s="4"/>
    </row>
    <row r="383" spans="1:41" hidden="1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41" hidden="1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41" hidden="1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41" hidden="1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41" x14ac:dyDescent="0.3">
      <c r="A387" s="4">
        <v>30</v>
      </c>
      <c r="B387" s="4" t="s">
        <v>35</v>
      </c>
      <c r="C387" s="4" t="s">
        <v>44</v>
      </c>
      <c r="D387" s="4">
        <v>464</v>
      </c>
      <c r="E387" s="4" t="s">
        <v>45</v>
      </c>
      <c r="F387" s="4">
        <v>4</v>
      </c>
      <c r="G387" s="4">
        <v>3</v>
      </c>
      <c r="H387" s="4" t="s">
        <v>60</v>
      </c>
      <c r="I387" s="4">
        <v>1</v>
      </c>
      <c r="J387" s="4">
        <v>514</v>
      </c>
      <c r="K387" s="4">
        <v>3</v>
      </c>
      <c r="L387" s="4" t="s">
        <v>46</v>
      </c>
      <c r="M387" s="4">
        <v>40</v>
      </c>
      <c r="N387" s="4">
        <v>3</v>
      </c>
      <c r="O387" s="4">
        <v>1</v>
      </c>
      <c r="P387" s="4" t="s">
        <v>47</v>
      </c>
      <c r="Q387" s="4">
        <v>4</v>
      </c>
      <c r="R387" s="4" t="s">
        <v>41</v>
      </c>
      <c r="S387" s="4">
        <v>2285</v>
      </c>
      <c r="T387" s="4">
        <v>3427</v>
      </c>
      <c r="U387" s="4">
        <v>9</v>
      </c>
      <c r="V387" s="4" t="s">
        <v>42</v>
      </c>
      <c r="W387" s="4" t="s">
        <v>35</v>
      </c>
      <c r="X387" s="4">
        <v>23</v>
      </c>
      <c r="Y387" s="4">
        <v>4</v>
      </c>
      <c r="Z387" s="4">
        <v>3</v>
      </c>
      <c r="AA387" s="4">
        <v>80</v>
      </c>
      <c r="AB387" s="4">
        <v>0</v>
      </c>
      <c r="AC387" s="4">
        <v>3</v>
      </c>
      <c r="AD387" s="4">
        <v>4</v>
      </c>
      <c r="AE387" s="4">
        <v>3</v>
      </c>
      <c r="AF387" s="4">
        <v>1</v>
      </c>
      <c r="AG387" s="4">
        <v>0</v>
      </c>
      <c r="AH387" s="4">
        <v>0</v>
      </c>
      <c r="AI387" s="4">
        <v>0</v>
      </c>
      <c r="AJ387" s="4"/>
      <c r="AK387" s="4"/>
      <c r="AL387" s="4"/>
      <c r="AM387" s="4"/>
      <c r="AN387" s="4"/>
      <c r="AO387" s="4"/>
    </row>
    <row r="388" spans="1:41" hidden="1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41" hidden="1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41" hidden="1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41" x14ac:dyDescent="0.3">
      <c r="A391" s="4">
        <v>37</v>
      </c>
      <c r="B391" s="4" t="s">
        <v>43</v>
      </c>
      <c r="C391" s="4" t="s">
        <v>36</v>
      </c>
      <c r="D391" s="4">
        <v>1305</v>
      </c>
      <c r="E391" s="4" t="s">
        <v>45</v>
      </c>
      <c r="F391" s="4">
        <v>10</v>
      </c>
      <c r="G391" s="4">
        <v>4</v>
      </c>
      <c r="H391" s="4" t="s">
        <v>38</v>
      </c>
      <c r="I391" s="4">
        <v>1</v>
      </c>
      <c r="J391" s="4">
        <v>518</v>
      </c>
      <c r="K391" s="4">
        <v>3</v>
      </c>
      <c r="L391" s="4" t="s">
        <v>46</v>
      </c>
      <c r="M391" s="4">
        <v>49</v>
      </c>
      <c r="N391" s="4">
        <v>3</v>
      </c>
      <c r="O391" s="4">
        <v>2</v>
      </c>
      <c r="P391" s="4" t="s">
        <v>53</v>
      </c>
      <c r="Q391" s="4">
        <v>2</v>
      </c>
      <c r="R391" s="4" t="s">
        <v>41</v>
      </c>
      <c r="S391" s="4">
        <v>4197</v>
      </c>
      <c r="T391" s="4">
        <v>21123</v>
      </c>
      <c r="U391" s="4">
        <v>2</v>
      </c>
      <c r="V391" s="4" t="s">
        <v>42</v>
      </c>
      <c r="W391" s="4" t="s">
        <v>35</v>
      </c>
      <c r="X391" s="4">
        <v>12</v>
      </c>
      <c r="Y391" s="4">
        <v>3</v>
      </c>
      <c r="Z391" s="4">
        <v>4</v>
      </c>
      <c r="AA391" s="4">
        <v>80</v>
      </c>
      <c r="AB391" s="4">
        <v>0</v>
      </c>
      <c r="AC391" s="4">
        <v>18</v>
      </c>
      <c r="AD391" s="4">
        <v>2</v>
      </c>
      <c r="AE391" s="4">
        <v>2</v>
      </c>
      <c r="AF391" s="4">
        <v>1</v>
      </c>
      <c r="AG391" s="4">
        <v>0</v>
      </c>
      <c r="AH391" s="4">
        <v>0</v>
      </c>
      <c r="AI391" s="4">
        <v>1</v>
      </c>
      <c r="AJ391" s="4"/>
      <c r="AK391" s="4"/>
      <c r="AL391" s="4"/>
      <c r="AM391" s="4"/>
      <c r="AN391" s="4"/>
      <c r="AO391" s="4"/>
    </row>
    <row r="392" spans="1:41" hidden="1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41" hidden="1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41" hidden="1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41" hidden="1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41" hidden="1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41" hidden="1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41" x14ac:dyDescent="0.3">
      <c r="A398" s="4">
        <v>43</v>
      </c>
      <c r="B398" s="4" t="s">
        <v>43</v>
      </c>
      <c r="C398" s="4" t="s">
        <v>36</v>
      </c>
      <c r="D398" s="4">
        <v>1473</v>
      </c>
      <c r="E398" s="4" t="s">
        <v>45</v>
      </c>
      <c r="F398" s="4">
        <v>8</v>
      </c>
      <c r="G398" s="4">
        <v>4</v>
      </c>
      <c r="H398" s="4" t="s">
        <v>49</v>
      </c>
      <c r="I398" s="4">
        <v>1</v>
      </c>
      <c r="J398" s="4">
        <v>526</v>
      </c>
      <c r="K398" s="4">
        <v>3</v>
      </c>
      <c r="L398" s="4" t="s">
        <v>39</v>
      </c>
      <c r="M398" s="4">
        <v>74</v>
      </c>
      <c r="N398" s="4">
        <v>3</v>
      </c>
      <c r="O398" s="4">
        <v>2</v>
      </c>
      <c r="P398" s="4" t="s">
        <v>54</v>
      </c>
      <c r="Q398" s="4">
        <v>3</v>
      </c>
      <c r="R398" s="4" t="s">
        <v>52</v>
      </c>
      <c r="S398" s="4">
        <v>4522</v>
      </c>
      <c r="T398" s="4">
        <v>2227</v>
      </c>
      <c r="U398" s="4">
        <v>4</v>
      </c>
      <c r="V398" s="4" t="s">
        <v>42</v>
      </c>
      <c r="W398" s="4" t="s">
        <v>35</v>
      </c>
      <c r="X398" s="4">
        <v>14</v>
      </c>
      <c r="Y398" s="4">
        <v>3</v>
      </c>
      <c r="Z398" s="4">
        <v>4</v>
      </c>
      <c r="AA398" s="4">
        <v>80</v>
      </c>
      <c r="AB398" s="4">
        <v>0</v>
      </c>
      <c r="AC398" s="4">
        <v>8</v>
      </c>
      <c r="AD398" s="4">
        <v>3</v>
      </c>
      <c r="AE398" s="4">
        <v>3</v>
      </c>
      <c r="AF398" s="4">
        <v>5</v>
      </c>
      <c r="AG398" s="4">
        <v>2</v>
      </c>
      <c r="AH398" s="4">
        <v>0</v>
      </c>
      <c r="AI398" s="4">
        <v>2</v>
      </c>
      <c r="AJ398" s="4"/>
      <c r="AK398" s="4"/>
      <c r="AL398" s="4"/>
      <c r="AM398" s="4"/>
      <c r="AN398" s="4"/>
      <c r="AO398" s="4"/>
    </row>
    <row r="399" spans="1:41" x14ac:dyDescent="0.3">
      <c r="A399" s="4">
        <v>25</v>
      </c>
      <c r="B399" s="4" t="s">
        <v>43</v>
      </c>
      <c r="C399" s="4" t="s">
        <v>36</v>
      </c>
      <c r="D399" s="4">
        <v>891</v>
      </c>
      <c r="E399" s="4" t="s">
        <v>37</v>
      </c>
      <c r="F399" s="4">
        <v>4</v>
      </c>
      <c r="G399" s="4">
        <v>2</v>
      </c>
      <c r="H399" s="4" t="s">
        <v>38</v>
      </c>
      <c r="I399" s="4">
        <v>1</v>
      </c>
      <c r="J399" s="4">
        <v>527</v>
      </c>
      <c r="K399" s="4">
        <v>2</v>
      </c>
      <c r="L399" s="4" t="s">
        <v>39</v>
      </c>
      <c r="M399" s="4">
        <v>99</v>
      </c>
      <c r="N399" s="4">
        <v>2</v>
      </c>
      <c r="O399" s="4">
        <v>2</v>
      </c>
      <c r="P399" s="4" t="s">
        <v>40</v>
      </c>
      <c r="Q399" s="4">
        <v>4</v>
      </c>
      <c r="R399" s="4" t="s">
        <v>41</v>
      </c>
      <c r="S399" s="4">
        <v>4487</v>
      </c>
      <c r="T399" s="4">
        <v>12090</v>
      </c>
      <c r="U399" s="4">
        <v>1</v>
      </c>
      <c r="V399" s="4" t="s">
        <v>42</v>
      </c>
      <c r="W399" s="4" t="s">
        <v>35</v>
      </c>
      <c r="X399" s="4">
        <v>11</v>
      </c>
      <c r="Y399" s="4">
        <v>3</v>
      </c>
      <c r="Z399" s="4">
        <v>2</v>
      </c>
      <c r="AA399" s="4">
        <v>80</v>
      </c>
      <c r="AB399" s="4">
        <v>0</v>
      </c>
      <c r="AC399" s="4">
        <v>5</v>
      </c>
      <c r="AD399" s="4">
        <v>3</v>
      </c>
      <c r="AE399" s="4">
        <v>3</v>
      </c>
      <c r="AF399" s="4">
        <v>5</v>
      </c>
      <c r="AG399" s="4">
        <v>4</v>
      </c>
      <c r="AH399" s="4">
        <v>1</v>
      </c>
      <c r="AI399" s="4">
        <v>3</v>
      </c>
      <c r="AJ399" s="4"/>
      <c r="AK399" s="4"/>
      <c r="AL399" s="4"/>
      <c r="AM399" s="4"/>
      <c r="AN399" s="4"/>
      <c r="AO399" s="4"/>
    </row>
    <row r="400" spans="1:41" x14ac:dyDescent="0.3">
      <c r="A400" s="4">
        <v>37</v>
      </c>
      <c r="B400" s="4" t="s">
        <v>43</v>
      </c>
      <c r="C400" s="4" t="s">
        <v>55</v>
      </c>
      <c r="D400" s="4">
        <v>1063</v>
      </c>
      <c r="E400" s="4" t="s">
        <v>45</v>
      </c>
      <c r="F400" s="4">
        <v>25</v>
      </c>
      <c r="G400" s="4">
        <v>5</v>
      </c>
      <c r="H400" s="4" t="s">
        <v>51</v>
      </c>
      <c r="I400" s="4">
        <v>1</v>
      </c>
      <c r="J400" s="4">
        <v>529</v>
      </c>
      <c r="K400" s="4">
        <v>2</v>
      </c>
      <c r="L400" s="4" t="s">
        <v>39</v>
      </c>
      <c r="M400" s="4">
        <v>72</v>
      </c>
      <c r="N400" s="4">
        <v>3</v>
      </c>
      <c r="O400" s="4">
        <v>2</v>
      </c>
      <c r="P400" s="4" t="s">
        <v>47</v>
      </c>
      <c r="Q400" s="4">
        <v>3</v>
      </c>
      <c r="R400" s="4" t="s">
        <v>48</v>
      </c>
      <c r="S400" s="4">
        <v>4449</v>
      </c>
      <c r="T400" s="4">
        <v>23866</v>
      </c>
      <c r="U400" s="4">
        <v>3</v>
      </c>
      <c r="V400" s="4" t="s">
        <v>42</v>
      </c>
      <c r="W400" s="4" t="s">
        <v>35</v>
      </c>
      <c r="X400" s="4">
        <v>15</v>
      </c>
      <c r="Y400" s="4">
        <v>3</v>
      </c>
      <c r="Z400" s="4">
        <v>1</v>
      </c>
      <c r="AA400" s="4">
        <v>80</v>
      </c>
      <c r="AB400" s="4">
        <v>2</v>
      </c>
      <c r="AC400" s="4">
        <v>15</v>
      </c>
      <c r="AD400" s="4">
        <v>2</v>
      </c>
      <c r="AE400" s="4">
        <v>3</v>
      </c>
      <c r="AF400" s="4">
        <v>13</v>
      </c>
      <c r="AG400" s="4">
        <v>11</v>
      </c>
      <c r="AH400" s="4">
        <v>10</v>
      </c>
      <c r="AI400" s="4">
        <v>7</v>
      </c>
      <c r="AJ400" s="4"/>
      <c r="AK400" s="4"/>
      <c r="AL400" s="4"/>
      <c r="AM400" s="4"/>
      <c r="AN400" s="4"/>
      <c r="AO400" s="4"/>
    </row>
    <row r="401" spans="1:41" hidden="1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41" x14ac:dyDescent="0.3">
      <c r="A402" s="4">
        <v>39</v>
      </c>
      <c r="B402" s="4" t="s">
        <v>43</v>
      </c>
      <c r="C402" s="4" t="s">
        <v>44</v>
      </c>
      <c r="D402" s="4">
        <v>1218</v>
      </c>
      <c r="E402" s="4" t="s">
        <v>45</v>
      </c>
      <c r="F402" s="4">
        <v>1</v>
      </c>
      <c r="G402" s="4">
        <v>1</v>
      </c>
      <c r="H402" s="4" t="s">
        <v>38</v>
      </c>
      <c r="I402" s="4">
        <v>1</v>
      </c>
      <c r="J402" s="4">
        <v>531</v>
      </c>
      <c r="K402" s="4">
        <v>2</v>
      </c>
      <c r="L402" s="4" t="s">
        <v>46</v>
      </c>
      <c r="M402" s="4">
        <v>52</v>
      </c>
      <c r="N402" s="4">
        <v>3</v>
      </c>
      <c r="O402" s="4">
        <v>5</v>
      </c>
      <c r="P402" s="4" t="s">
        <v>56</v>
      </c>
      <c r="Q402" s="4">
        <v>3</v>
      </c>
      <c r="R402" s="4" t="s">
        <v>52</v>
      </c>
      <c r="S402" s="4">
        <v>19197</v>
      </c>
      <c r="T402" s="4">
        <v>8213</v>
      </c>
      <c r="U402" s="4">
        <v>1</v>
      </c>
      <c r="V402" s="4" t="s">
        <v>42</v>
      </c>
      <c r="W402" s="4" t="s">
        <v>35</v>
      </c>
      <c r="X402" s="4">
        <v>14</v>
      </c>
      <c r="Y402" s="4">
        <v>3</v>
      </c>
      <c r="Z402" s="4">
        <v>3</v>
      </c>
      <c r="AA402" s="4">
        <v>80</v>
      </c>
      <c r="AB402" s="4">
        <v>1</v>
      </c>
      <c r="AC402" s="4">
        <v>21</v>
      </c>
      <c r="AD402" s="4">
        <v>3</v>
      </c>
      <c r="AE402" s="4">
        <v>3</v>
      </c>
      <c r="AF402" s="4">
        <v>21</v>
      </c>
      <c r="AG402" s="4">
        <v>8</v>
      </c>
      <c r="AH402" s="4">
        <v>1</v>
      </c>
      <c r="AI402" s="4">
        <v>6</v>
      </c>
      <c r="AJ402" s="4"/>
      <c r="AK402" s="4"/>
      <c r="AL402" s="4"/>
      <c r="AM402" s="4"/>
      <c r="AN402" s="4"/>
      <c r="AO402" s="4"/>
    </row>
    <row r="403" spans="1:41" hidden="1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41" hidden="1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41" hidden="1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41" hidden="1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41" hidden="1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41" x14ac:dyDescent="0.3">
      <c r="A408" s="4">
        <v>52</v>
      </c>
      <c r="B408" s="4" t="s">
        <v>43</v>
      </c>
      <c r="C408" s="4" t="s">
        <v>36</v>
      </c>
      <c r="D408" s="4">
        <v>319</v>
      </c>
      <c r="E408" s="4" t="s">
        <v>45</v>
      </c>
      <c r="F408" s="4">
        <v>3</v>
      </c>
      <c r="G408" s="4">
        <v>3</v>
      </c>
      <c r="H408" s="4" t="s">
        <v>51</v>
      </c>
      <c r="I408" s="4">
        <v>1</v>
      </c>
      <c r="J408" s="4">
        <v>543</v>
      </c>
      <c r="K408" s="4">
        <v>4</v>
      </c>
      <c r="L408" s="4" t="s">
        <v>46</v>
      </c>
      <c r="M408" s="4">
        <v>39</v>
      </c>
      <c r="N408" s="4">
        <v>2</v>
      </c>
      <c r="O408" s="4">
        <v>3</v>
      </c>
      <c r="P408" s="4" t="s">
        <v>53</v>
      </c>
      <c r="Q408" s="4">
        <v>3</v>
      </c>
      <c r="R408" s="4" t="s">
        <v>48</v>
      </c>
      <c r="S408" s="4">
        <v>7969</v>
      </c>
      <c r="T408" s="4">
        <v>19609</v>
      </c>
      <c r="U408" s="4">
        <v>2</v>
      </c>
      <c r="V408" s="4" t="s">
        <v>42</v>
      </c>
      <c r="W408" s="4" t="s">
        <v>35</v>
      </c>
      <c r="X408" s="4">
        <v>14</v>
      </c>
      <c r="Y408" s="4">
        <v>3</v>
      </c>
      <c r="Z408" s="4">
        <v>3</v>
      </c>
      <c r="AA408" s="4">
        <v>80</v>
      </c>
      <c r="AB408" s="4">
        <v>0</v>
      </c>
      <c r="AC408" s="4">
        <v>28</v>
      </c>
      <c r="AD408" s="4">
        <v>4</v>
      </c>
      <c r="AE408" s="4">
        <v>3</v>
      </c>
      <c r="AF408" s="4">
        <v>5</v>
      </c>
      <c r="AG408" s="4">
        <v>4</v>
      </c>
      <c r="AH408" s="4">
        <v>0</v>
      </c>
      <c r="AI408" s="4">
        <v>4</v>
      </c>
      <c r="AJ408" s="4"/>
      <c r="AK408" s="4"/>
      <c r="AL408" s="4"/>
      <c r="AM408" s="4"/>
      <c r="AN408" s="4"/>
      <c r="AO408" s="4"/>
    </row>
    <row r="409" spans="1:41" hidden="1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41" hidden="1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41" hidden="1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41" hidden="1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41" hidden="1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41" hidden="1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41" hidden="1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41" x14ac:dyDescent="0.3">
      <c r="A416" s="4">
        <v>24</v>
      </c>
      <c r="B416" s="4" t="s">
        <v>35</v>
      </c>
      <c r="C416" s="4" t="s">
        <v>36</v>
      </c>
      <c r="D416" s="4">
        <v>1448</v>
      </c>
      <c r="E416" s="4" t="s">
        <v>37</v>
      </c>
      <c r="F416" s="4">
        <v>1</v>
      </c>
      <c r="G416" s="4">
        <v>1</v>
      </c>
      <c r="H416" s="4" t="s">
        <v>60</v>
      </c>
      <c r="I416" s="4">
        <v>1</v>
      </c>
      <c r="J416" s="4">
        <v>554</v>
      </c>
      <c r="K416" s="4">
        <v>1</v>
      </c>
      <c r="L416" s="4" t="s">
        <v>39</v>
      </c>
      <c r="M416" s="4">
        <v>62</v>
      </c>
      <c r="N416" s="4">
        <v>3</v>
      </c>
      <c r="O416" s="4">
        <v>1</v>
      </c>
      <c r="P416" s="4" t="s">
        <v>57</v>
      </c>
      <c r="Q416" s="4">
        <v>2</v>
      </c>
      <c r="R416" s="4" t="s">
        <v>41</v>
      </c>
      <c r="S416" s="4">
        <v>3202</v>
      </c>
      <c r="T416" s="4">
        <v>21972</v>
      </c>
      <c r="U416" s="4">
        <v>1</v>
      </c>
      <c r="V416" s="4" t="s">
        <v>42</v>
      </c>
      <c r="W416" s="4" t="s">
        <v>35</v>
      </c>
      <c r="X416" s="4">
        <v>16</v>
      </c>
      <c r="Y416" s="4">
        <v>3</v>
      </c>
      <c r="Z416" s="4">
        <v>2</v>
      </c>
      <c r="AA416" s="4">
        <v>80</v>
      </c>
      <c r="AB416" s="4">
        <v>0</v>
      </c>
      <c r="AC416" s="4">
        <v>6</v>
      </c>
      <c r="AD416" s="4">
        <v>4</v>
      </c>
      <c r="AE416" s="4">
        <v>3</v>
      </c>
      <c r="AF416" s="4">
        <v>5</v>
      </c>
      <c r="AG416" s="4">
        <v>3</v>
      </c>
      <c r="AH416" s="4">
        <v>1</v>
      </c>
      <c r="AI416" s="4">
        <v>4</v>
      </c>
      <c r="AJ416" s="4"/>
      <c r="AK416" s="4"/>
      <c r="AL416" s="4"/>
      <c r="AM416" s="4"/>
      <c r="AN416" s="4"/>
      <c r="AO416" s="4"/>
    </row>
    <row r="417" spans="1:41" hidden="1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41" x14ac:dyDescent="0.3">
      <c r="A418" s="4">
        <v>38</v>
      </c>
      <c r="B418" s="4" t="s">
        <v>43</v>
      </c>
      <c r="C418" s="4" t="s">
        <v>44</v>
      </c>
      <c r="D418" s="4">
        <v>1490</v>
      </c>
      <c r="E418" s="4" t="s">
        <v>45</v>
      </c>
      <c r="F418" s="4">
        <v>2</v>
      </c>
      <c r="G418" s="4">
        <v>2</v>
      </c>
      <c r="H418" s="4" t="s">
        <v>38</v>
      </c>
      <c r="I418" s="4">
        <v>1</v>
      </c>
      <c r="J418" s="4">
        <v>556</v>
      </c>
      <c r="K418" s="4">
        <v>4</v>
      </c>
      <c r="L418" s="4" t="s">
        <v>46</v>
      </c>
      <c r="M418" s="4">
        <v>42</v>
      </c>
      <c r="N418" s="4">
        <v>3</v>
      </c>
      <c r="O418" s="4">
        <v>1</v>
      </c>
      <c r="P418" s="4" t="s">
        <v>50</v>
      </c>
      <c r="Q418" s="4">
        <v>4</v>
      </c>
      <c r="R418" s="4" t="s">
        <v>48</v>
      </c>
      <c r="S418" s="4">
        <v>1702</v>
      </c>
      <c r="T418" s="4">
        <v>12106</v>
      </c>
      <c r="U418" s="4">
        <v>1</v>
      </c>
      <c r="V418" s="4" t="s">
        <v>42</v>
      </c>
      <c r="W418" s="4" t="s">
        <v>35</v>
      </c>
      <c r="X418" s="4">
        <v>23</v>
      </c>
      <c r="Y418" s="4">
        <v>4</v>
      </c>
      <c r="Z418" s="4">
        <v>3</v>
      </c>
      <c r="AA418" s="4">
        <v>80</v>
      </c>
      <c r="AB418" s="4">
        <v>1</v>
      </c>
      <c r="AC418" s="4">
        <v>1</v>
      </c>
      <c r="AD418" s="4">
        <v>3</v>
      </c>
      <c r="AE418" s="4">
        <v>3</v>
      </c>
      <c r="AF418" s="4">
        <v>1</v>
      </c>
      <c r="AG418" s="4">
        <v>0</v>
      </c>
      <c r="AH418" s="4">
        <v>0</v>
      </c>
      <c r="AI418" s="4">
        <v>0</v>
      </c>
      <c r="AJ418" s="4"/>
      <c r="AK418" s="4"/>
      <c r="AL418" s="4"/>
      <c r="AM418" s="4"/>
      <c r="AN418" s="4"/>
      <c r="AO418" s="4"/>
    </row>
    <row r="419" spans="1:41" hidden="1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41" hidden="1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41" hidden="1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41" hidden="1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41" hidden="1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41" hidden="1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41" hidden="1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41" hidden="1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41" hidden="1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41" hidden="1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41" hidden="1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41" hidden="1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41" hidden="1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41" hidden="1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41" hidden="1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41" hidden="1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41" x14ac:dyDescent="0.3">
      <c r="A435" s="4">
        <v>46</v>
      </c>
      <c r="B435" s="4" t="s">
        <v>43</v>
      </c>
      <c r="C435" s="4" t="s">
        <v>36</v>
      </c>
      <c r="D435" s="4">
        <v>1125</v>
      </c>
      <c r="E435" s="4" t="s">
        <v>37</v>
      </c>
      <c r="F435" s="4">
        <v>10</v>
      </c>
      <c r="G435" s="4">
        <v>3</v>
      </c>
      <c r="H435" s="4" t="s">
        <v>59</v>
      </c>
      <c r="I435" s="4">
        <v>1</v>
      </c>
      <c r="J435" s="4">
        <v>580</v>
      </c>
      <c r="K435" s="4">
        <v>3</v>
      </c>
      <c r="L435" s="4" t="s">
        <v>39</v>
      </c>
      <c r="M435" s="4">
        <v>94</v>
      </c>
      <c r="N435" s="4">
        <v>2</v>
      </c>
      <c r="O435" s="4">
        <v>3</v>
      </c>
      <c r="P435" s="4" t="s">
        <v>40</v>
      </c>
      <c r="Q435" s="4">
        <v>4</v>
      </c>
      <c r="R435" s="4" t="s">
        <v>48</v>
      </c>
      <c r="S435" s="4">
        <v>9071</v>
      </c>
      <c r="T435" s="4">
        <v>11563</v>
      </c>
      <c r="U435" s="4">
        <v>2</v>
      </c>
      <c r="V435" s="4" t="s">
        <v>42</v>
      </c>
      <c r="W435" s="4" t="s">
        <v>35</v>
      </c>
      <c r="X435" s="4">
        <v>19</v>
      </c>
      <c r="Y435" s="4">
        <v>3</v>
      </c>
      <c r="Z435" s="4">
        <v>3</v>
      </c>
      <c r="AA435" s="4">
        <v>80</v>
      </c>
      <c r="AB435" s="4">
        <v>1</v>
      </c>
      <c r="AC435" s="4">
        <v>15</v>
      </c>
      <c r="AD435" s="4">
        <v>3</v>
      </c>
      <c r="AE435" s="4">
        <v>3</v>
      </c>
      <c r="AF435" s="4">
        <v>3</v>
      </c>
      <c r="AG435" s="4">
        <v>2</v>
      </c>
      <c r="AH435" s="4">
        <v>1</v>
      </c>
      <c r="AI435" s="4">
        <v>2</v>
      </c>
      <c r="AJ435" s="4"/>
      <c r="AK435" s="4"/>
      <c r="AL435" s="4"/>
      <c r="AM435" s="4"/>
      <c r="AN435" s="4"/>
      <c r="AO435" s="4"/>
    </row>
    <row r="436" spans="1:41" hidden="1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41" x14ac:dyDescent="0.3">
      <c r="A437" s="4">
        <v>33</v>
      </c>
      <c r="B437" s="4" t="s">
        <v>35</v>
      </c>
      <c r="C437" s="4" t="s">
        <v>36</v>
      </c>
      <c r="D437" s="4">
        <v>1277</v>
      </c>
      <c r="E437" s="4" t="s">
        <v>45</v>
      </c>
      <c r="F437" s="4">
        <v>15</v>
      </c>
      <c r="G437" s="4">
        <v>1</v>
      </c>
      <c r="H437" s="4" t="s">
        <v>51</v>
      </c>
      <c r="I437" s="4">
        <v>1</v>
      </c>
      <c r="J437" s="4">
        <v>582</v>
      </c>
      <c r="K437" s="4">
        <v>2</v>
      </c>
      <c r="L437" s="4" t="s">
        <v>46</v>
      </c>
      <c r="M437" s="4">
        <v>56</v>
      </c>
      <c r="N437" s="4">
        <v>3</v>
      </c>
      <c r="O437" s="4">
        <v>3</v>
      </c>
      <c r="P437" s="4" t="s">
        <v>56</v>
      </c>
      <c r="Q437" s="4">
        <v>3</v>
      </c>
      <c r="R437" s="4" t="s">
        <v>48</v>
      </c>
      <c r="S437" s="4">
        <v>13610</v>
      </c>
      <c r="T437" s="4">
        <v>24619</v>
      </c>
      <c r="U437" s="4">
        <v>7</v>
      </c>
      <c r="V437" s="4" t="s">
        <v>42</v>
      </c>
      <c r="W437" s="4" t="s">
        <v>35</v>
      </c>
      <c r="X437" s="4">
        <v>12</v>
      </c>
      <c r="Y437" s="4">
        <v>3</v>
      </c>
      <c r="Z437" s="4">
        <v>4</v>
      </c>
      <c r="AA437" s="4">
        <v>80</v>
      </c>
      <c r="AB437" s="4">
        <v>0</v>
      </c>
      <c r="AC437" s="4">
        <v>15</v>
      </c>
      <c r="AD437" s="4">
        <v>2</v>
      </c>
      <c r="AE437" s="4">
        <v>4</v>
      </c>
      <c r="AF437" s="4">
        <v>7</v>
      </c>
      <c r="AG437" s="4">
        <v>6</v>
      </c>
      <c r="AH437" s="4">
        <v>7</v>
      </c>
      <c r="AI437" s="4">
        <v>7</v>
      </c>
      <c r="AJ437" s="4"/>
      <c r="AK437" s="4"/>
      <c r="AL437" s="4"/>
      <c r="AM437" s="4"/>
      <c r="AN437" s="4"/>
      <c r="AO437" s="4"/>
    </row>
    <row r="438" spans="1:41" hidden="1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41" hidden="1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41" x14ac:dyDescent="0.3">
      <c r="A440" s="4">
        <v>35</v>
      </c>
      <c r="B440" s="4" t="s">
        <v>43</v>
      </c>
      <c r="C440" s="4" t="s">
        <v>36</v>
      </c>
      <c r="D440" s="4">
        <v>1276</v>
      </c>
      <c r="E440" s="4" t="s">
        <v>45</v>
      </c>
      <c r="F440" s="4">
        <v>16</v>
      </c>
      <c r="G440" s="4">
        <v>3</v>
      </c>
      <c r="H440" s="4" t="s">
        <v>38</v>
      </c>
      <c r="I440" s="4">
        <v>1</v>
      </c>
      <c r="J440" s="4">
        <v>586</v>
      </c>
      <c r="K440" s="4">
        <v>4</v>
      </c>
      <c r="L440" s="4" t="s">
        <v>46</v>
      </c>
      <c r="M440" s="4">
        <v>72</v>
      </c>
      <c r="N440" s="4">
        <v>3</v>
      </c>
      <c r="O440" s="4">
        <v>3</v>
      </c>
      <c r="P440" s="4" t="s">
        <v>54</v>
      </c>
      <c r="Q440" s="4">
        <v>3</v>
      </c>
      <c r="R440" s="4" t="s">
        <v>48</v>
      </c>
      <c r="S440" s="4">
        <v>7632</v>
      </c>
      <c r="T440" s="4">
        <v>14295</v>
      </c>
      <c r="U440" s="4">
        <v>4</v>
      </c>
      <c r="V440" s="4" t="s">
        <v>42</v>
      </c>
      <c r="W440" s="4" t="s">
        <v>35</v>
      </c>
      <c r="X440" s="4">
        <v>12</v>
      </c>
      <c r="Y440" s="4">
        <v>3</v>
      </c>
      <c r="Z440" s="4">
        <v>3</v>
      </c>
      <c r="AA440" s="4">
        <v>80</v>
      </c>
      <c r="AB440" s="4">
        <v>0</v>
      </c>
      <c r="AC440" s="4">
        <v>10</v>
      </c>
      <c r="AD440" s="4">
        <v>2</v>
      </c>
      <c r="AE440" s="4">
        <v>3</v>
      </c>
      <c r="AF440" s="4">
        <v>8</v>
      </c>
      <c r="AG440" s="4">
        <v>7</v>
      </c>
      <c r="AH440" s="4">
        <v>0</v>
      </c>
      <c r="AI440" s="4">
        <v>0</v>
      </c>
      <c r="AJ440" s="4"/>
      <c r="AK440" s="4"/>
      <c r="AL440" s="4"/>
      <c r="AM440" s="4"/>
      <c r="AN440" s="4"/>
      <c r="AO440" s="4"/>
    </row>
    <row r="441" spans="1:41" hidden="1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41" x14ac:dyDescent="0.3">
      <c r="A442" s="4">
        <v>34</v>
      </c>
      <c r="B442" s="4" t="s">
        <v>35</v>
      </c>
      <c r="C442" s="4" t="s">
        <v>44</v>
      </c>
      <c r="D442" s="4">
        <v>988</v>
      </c>
      <c r="E442" s="4" t="s">
        <v>61</v>
      </c>
      <c r="F442" s="4">
        <v>23</v>
      </c>
      <c r="G442" s="4">
        <v>3</v>
      </c>
      <c r="H442" s="4" t="s">
        <v>61</v>
      </c>
      <c r="I442" s="4">
        <v>1</v>
      </c>
      <c r="J442" s="4">
        <v>590</v>
      </c>
      <c r="K442" s="4">
        <v>2</v>
      </c>
      <c r="L442" s="4" t="s">
        <v>39</v>
      </c>
      <c r="M442" s="4">
        <v>43</v>
      </c>
      <c r="N442" s="4">
        <v>3</v>
      </c>
      <c r="O442" s="4">
        <v>3</v>
      </c>
      <c r="P442" s="4" t="s">
        <v>61</v>
      </c>
      <c r="Q442" s="4">
        <v>1</v>
      </c>
      <c r="R442" s="4" t="s">
        <v>52</v>
      </c>
      <c r="S442" s="4">
        <v>9950</v>
      </c>
      <c r="T442" s="4">
        <v>11533</v>
      </c>
      <c r="U442" s="4">
        <v>9</v>
      </c>
      <c r="V442" s="4" t="s">
        <v>42</v>
      </c>
      <c r="W442" s="4" t="s">
        <v>35</v>
      </c>
      <c r="X442" s="4">
        <v>15</v>
      </c>
      <c r="Y442" s="4">
        <v>3</v>
      </c>
      <c r="Z442" s="4">
        <v>3</v>
      </c>
      <c r="AA442" s="4">
        <v>80</v>
      </c>
      <c r="AB442" s="4">
        <v>3</v>
      </c>
      <c r="AC442" s="4">
        <v>11</v>
      </c>
      <c r="AD442" s="4">
        <v>2</v>
      </c>
      <c r="AE442" s="4">
        <v>3</v>
      </c>
      <c r="AF442" s="4">
        <v>3</v>
      </c>
      <c r="AG442" s="4">
        <v>2</v>
      </c>
      <c r="AH442" s="4">
        <v>0</v>
      </c>
      <c r="AI442" s="4">
        <v>2</v>
      </c>
      <c r="AJ442" s="4"/>
      <c r="AK442" s="4"/>
      <c r="AL442" s="4"/>
      <c r="AM442" s="4"/>
      <c r="AN442" s="4"/>
      <c r="AO442" s="4"/>
    </row>
    <row r="443" spans="1:41" hidden="1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41" hidden="1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41" hidden="1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41" hidden="1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41" hidden="1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41" hidden="1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41" hidden="1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41" hidden="1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41" hidden="1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41" x14ac:dyDescent="0.3">
      <c r="A452" s="4">
        <v>31</v>
      </c>
      <c r="B452" s="4" t="s">
        <v>43</v>
      </c>
      <c r="C452" s="4" t="s">
        <v>36</v>
      </c>
      <c r="D452" s="4">
        <v>828</v>
      </c>
      <c r="E452" s="4" t="s">
        <v>37</v>
      </c>
      <c r="F452" s="4">
        <v>2</v>
      </c>
      <c r="G452" s="4">
        <v>1</v>
      </c>
      <c r="H452" s="4" t="s">
        <v>38</v>
      </c>
      <c r="I452" s="4">
        <v>1</v>
      </c>
      <c r="J452" s="4">
        <v>604</v>
      </c>
      <c r="K452" s="4">
        <v>2</v>
      </c>
      <c r="L452" s="4" t="s">
        <v>46</v>
      </c>
      <c r="M452" s="4">
        <v>77</v>
      </c>
      <c r="N452" s="4">
        <v>3</v>
      </c>
      <c r="O452" s="4">
        <v>2</v>
      </c>
      <c r="P452" s="4" t="s">
        <v>40</v>
      </c>
      <c r="Q452" s="4">
        <v>4</v>
      </c>
      <c r="R452" s="4" t="s">
        <v>41</v>
      </c>
      <c r="S452" s="4">
        <v>6582</v>
      </c>
      <c r="T452" s="4">
        <v>8346</v>
      </c>
      <c r="U452" s="4">
        <v>4</v>
      </c>
      <c r="V452" s="4" t="s">
        <v>42</v>
      </c>
      <c r="W452" s="4" t="s">
        <v>35</v>
      </c>
      <c r="X452" s="4">
        <v>13</v>
      </c>
      <c r="Y452" s="4">
        <v>3</v>
      </c>
      <c r="Z452" s="4">
        <v>3</v>
      </c>
      <c r="AA452" s="4">
        <v>80</v>
      </c>
      <c r="AB452" s="4">
        <v>0</v>
      </c>
      <c r="AC452" s="4">
        <v>10</v>
      </c>
      <c r="AD452" s="4">
        <v>2</v>
      </c>
      <c r="AE452" s="4">
        <v>4</v>
      </c>
      <c r="AF452" s="4">
        <v>6</v>
      </c>
      <c r="AG452" s="4">
        <v>5</v>
      </c>
      <c r="AH452" s="4">
        <v>0</v>
      </c>
      <c r="AI452" s="4">
        <v>5</v>
      </c>
      <c r="AJ452" s="4"/>
      <c r="AK452" s="4"/>
      <c r="AL452" s="4"/>
      <c r="AM452" s="4"/>
      <c r="AN452" s="4"/>
      <c r="AO452" s="4"/>
    </row>
    <row r="453" spans="1:41" x14ac:dyDescent="0.3">
      <c r="A453" s="4">
        <v>42</v>
      </c>
      <c r="B453" s="4" t="s">
        <v>43</v>
      </c>
      <c r="C453" s="4" t="s">
        <v>36</v>
      </c>
      <c r="D453" s="4">
        <v>319</v>
      </c>
      <c r="E453" s="4" t="s">
        <v>45</v>
      </c>
      <c r="F453" s="4">
        <v>24</v>
      </c>
      <c r="G453" s="4">
        <v>3</v>
      </c>
      <c r="H453" s="4" t="s">
        <v>51</v>
      </c>
      <c r="I453" s="4">
        <v>1</v>
      </c>
      <c r="J453" s="4">
        <v>605</v>
      </c>
      <c r="K453" s="4">
        <v>4</v>
      </c>
      <c r="L453" s="4" t="s">
        <v>46</v>
      </c>
      <c r="M453" s="4">
        <v>56</v>
      </c>
      <c r="N453" s="4">
        <v>3</v>
      </c>
      <c r="O453" s="4">
        <v>3</v>
      </c>
      <c r="P453" s="4" t="s">
        <v>53</v>
      </c>
      <c r="Q453" s="4">
        <v>1</v>
      </c>
      <c r="R453" s="4" t="s">
        <v>48</v>
      </c>
      <c r="S453" s="4">
        <v>7406</v>
      </c>
      <c r="T453" s="4">
        <v>6950</v>
      </c>
      <c r="U453" s="4">
        <v>1</v>
      </c>
      <c r="V453" s="4" t="s">
        <v>42</v>
      </c>
      <c r="W453" s="4" t="s">
        <v>35</v>
      </c>
      <c r="X453" s="4">
        <v>21</v>
      </c>
      <c r="Y453" s="4">
        <v>4</v>
      </c>
      <c r="Z453" s="4">
        <v>4</v>
      </c>
      <c r="AA453" s="4">
        <v>80</v>
      </c>
      <c r="AB453" s="4">
        <v>1</v>
      </c>
      <c r="AC453" s="4">
        <v>10</v>
      </c>
      <c r="AD453" s="4">
        <v>5</v>
      </c>
      <c r="AE453" s="4">
        <v>2</v>
      </c>
      <c r="AF453" s="4">
        <v>10</v>
      </c>
      <c r="AG453" s="4">
        <v>9</v>
      </c>
      <c r="AH453" s="4">
        <v>5</v>
      </c>
      <c r="AI453" s="4">
        <v>8</v>
      </c>
      <c r="AJ453" s="4"/>
      <c r="AK453" s="4"/>
      <c r="AL453" s="4"/>
      <c r="AM453" s="4"/>
      <c r="AN453" s="4"/>
      <c r="AO453" s="4"/>
    </row>
    <row r="454" spans="1:41" hidden="1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41" x14ac:dyDescent="0.3">
      <c r="A455" s="4">
        <v>26</v>
      </c>
      <c r="B455" s="4" t="s">
        <v>35</v>
      </c>
      <c r="C455" s="4" t="s">
        <v>44</v>
      </c>
      <c r="D455" s="4">
        <v>426</v>
      </c>
      <c r="E455" s="4" t="s">
        <v>61</v>
      </c>
      <c r="F455" s="4">
        <v>17</v>
      </c>
      <c r="G455" s="4">
        <v>4</v>
      </c>
      <c r="H455" s="4" t="s">
        <v>38</v>
      </c>
      <c r="I455" s="4">
        <v>1</v>
      </c>
      <c r="J455" s="4">
        <v>608</v>
      </c>
      <c r="K455" s="4">
        <v>2</v>
      </c>
      <c r="L455" s="4" t="s">
        <v>39</v>
      </c>
      <c r="M455" s="4">
        <v>58</v>
      </c>
      <c r="N455" s="4">
        <v>3</v>
      </c>
      <c r="O455" s="4">
        <v>1</v>
      </c>
      <c r="P455" s="4" t="s">
        <v>61</v>
      </c>
      <c r="Q455" s="4">
        <v>3</v>
      </c>
      <c r="R455" s="4" t="s">
        <v>52</v>
      </c>
      <c r="S455" s="4">
        <v>2741</v>
      </c>
      <c r="T455" s="4">
        <v>22808</v>
      </c>
      <c r="U455" s="4">
        <v>0</v>
      </c>
      <c r="V455" s="4" t="s">
        <v>42</v>
      </c>
      <c r="W455" s="4" t="s">
        <v>35</v>
      </c>
      <c r="X455" s="4">
        <v>11</v>
      </c>
      <c r="Y455" s="4">
        <v>3</v>
      </c>
      <c r="Z455" s="4">
        <v>2</v>
      </c>
      <c r="AA455" s="4">
        <v>80</v>
      </c>
      <c r="AB455" s="4">
        <v>1</v>
      </c>
      <c r="AC455" s="4">
        <v>8</v>
      </c>
      <c r="AD455" s="4">
        <v>2</v>
      </c>
      <c r="AE455" s="4">
        <v>2</v>
      </c>
      <c r="AF455" s="4">
        <v>7</v>
      </c>
      <c r="AG455" s="4">
        <v>7</v>
      </c>
      <c r="AH455" s="4">
        <v>1</v>
      </c>
      <c r="AI455" s="4">
        <v>0</v>
      </c>
      <c r="AJ455" s="4"/>
      <c r="AK455" s="4"/>
      <c r="AL455" s="4"/>
      <c r="AM455" s="4"/>
      <c r="AN455" s="4"/>
      <c r="AO455" s="4"/>
    </row>
    <row r="456" spans="1:41" hidden="1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41" hidden="1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41" hidden="1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41" x14ac:dyDescent="0.3">
      <c r="A459" s="4">
        <v>18</v>
      </c>
      <c r="B459" s="4" t="s">
        <v>35</v>
      </c>
      <c r="C459" s="4" t="s">
        <v>44</v>
      </c>
      <c r="D459" s="4">
        <v>1306</v>
      </c>
      <c r="E459" s="4" t="s">
        <v>37</v>
      </c>
      <c r="F459" s="4">
        <v>5</v>
      </c>
      <c r="G459" s="4">
        <v>3</v>
      </c>
      <c r="H459" s="4" t="s">
        <v>59</v>
      </c>
      <c r="I459" s="4">
        <v>1</v>
      </c>
      <c r="J459" s="4">
        <v>614</v>
      </c>
      <c r="K459" s="4">
        <v>2</v>
      </c>
      <c r="L459" s="4" t="s">
        <v>46</v>
      </c>
      <c r="M459" s="4">
        <v>69</v>
      </c>
      <c r="N459" s="4">
        <v>3</v>
      </c>
      <c r="O459" s="4">
        <v>1</v>
      </c>
      <c r="P459" s="4" t="s">
        <v>57</v>
      </c>
      <c r="Q459" s="4">
        <v>2</v>
      </c>
      <c r="R459" s="4" t="s">
        <v>41</v>
      </c>
      <c r="S459" s="4">
        <v>1878</v>
      </c>
      <c r="T459" s="4">
        <v>8059</v>
      </c>
      <c r="U459" s="4">
        <v>1</v>
      </c>
      <c r="V459" s="4" t="s">
        <v>42</v>
      </c>
      <c r="W459" s="4" t="s">
        <v>35</v>
      </c>
      <c r="X459" s="4">
        <v>14</v>
      </c>
      <c r="Y459" s="4">
        <v>3</v>
      </c>
      <c r="Z459" s="4">
        <v>4</v>
      </c>
      <c r="AA459" s="4">
        <v>80</v>
      </c>
      <c r="AB459" s="4">
        <v>0</v>
      </c>
      <c r="AC459" s="4">
        <v>0</v>
      </c>
      <c r="AD459" s="4">
        <v>3</v>
      </c>
      <c r="AE459" s="4">
        <v>3</v>
      </c>
      <c r="AF459" s="4">
        <v>0</v>
      </c>
      <c r="AG459" s="4">
        <v>0</v>
      </c>
      <c r="AH459" s="4">
        <v>0</v>
      </c>
      <c r="AI459" s="4">
        <v>0</v>
      </c>
      <c r="AJ459" s="4"/>
      <c r="AK459" s="4"/>
      <c r="AL459" s="4"/>
      <c r="AM459" s="4"/>
      <c r="AN459" s="4"/>
      <c r="AO459" s="4"/>
    </row>
    <row r="460" spans="1:41" hidden="1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41" x14ac:dyDescent="0.3">
      <c r="A461" s="4">
        <v>41</v>
      </c>
      <c r="B461" s="4" t="s">
        <v>43</v>
      </c>
      <c r="C461" s="4" t="s">
        <v>55</v>
      </c>
      <c r="D461" s="4">
        <v>509</v>
      </c>
      <c r="E461" s="4" t="s">
        <v>45</v>
      </c>
      <c r="F461" s="4">
        <v>2</v>
      </c>
      <c r="G461" s="4">
        <v>4</v>
      </c>
      <c r="H461" s="4" t="s">
        <v>49</v>
      </c>
      <c r="I461" s="4">
        <v>1</v>
      </c>
      <c r="J461" s="4">
        <v>616</v>
      </c>
      <c r="K461" s="4">
        <v>1</v>
      </c>
      <c r="L461" s="4" t="s">
        <v>39</v>
      </c>
      <c r="M461" s="4">
        <v>62</v>
      </c>
      <c r="N461" s="4">
        <v>2</v>
      </c>
      <c r="O461" s="4">
        <v>2</v>
      </c>
      <c r="P461" s="4" t="s">
        <v>54</v>
      </c>
      <c r="Q461" s="4">
        <v>3</v>
      </c>
      <c r="R461" s="4" t="s">
        <v>41</v>
      </c>
      <c r="S461" s="4">
        <v>6811</v>
      </c>
      <c r="T461" s="4">
        <v>2112</v>
      </c>
      <c r="U461" s="4">
        <v>2</v>
      </c>
      <c r="V461" s="4" t="s">
        <v>42</v>
      </c>
      <c r="W461" s="4" t="s">
        <v>35</v>
      </c>
      <c r="X461" s="4">
        <v>17</v>
      </c>
      <c r="Y461" s="4">
        <v>3</v>
      </c>
      <c r="Z461" s="4">
        <v>1</v>
      </c>
      <c r="AA461" s="4">
        <v>80</v>
      </c>
      <c r="AB461" s="4">
        <v>0</v>
      </c>
      <c r="AC461" s="4">
        <v>10</v>
      </c>
      <c r="AD461" s="4">
        <v>3</v>
      </c>
      <c r="AE461" s="4">
        <v>3</v>
      </c>
      <c r="AF461" s="4">
        <v>8</v>
      </c>
      <c r="AG461" s="4">
        <v>7</v>
      </c>
      <c r="AH461" s="4">
        <v>0</v>
      </c>
      <c r="AI461" s="4">
        <v>7</v>
      </c>
      <c r="AJ461" s="4"/>
      <c r="AK461" s="4"/>
      <c r="AL461" s="4"/>
      <c r="AM461" s="4"/>
      <c r="AN461" s="4"/>
      <c r="AO461" s="4"/>
    </row>
    <row r="462" spans="1:41" hidden="1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41" hidden="1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41" hidden="1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41" x14ac:dyDescent="0.3">
      <c r="A465" s="4">
        <v>26</v>
      </c>
      <c r="B465" s="4" t="s">
        <v>35</v>
      </c>
      <c r="C465" s="4" t="s">
        <v>36</v>
      </c>
      <c r="D465" s="4">
        <v>471</v>
      </c>
      <c r="E465" s="4" t="s">
        <v>45</v>
      </c>
      <c r="F465" s="4">
        <v>24</v>
      </c>
      <c r="G465" s="4">
        <v>3</v>
      </c>
      <c r="H465" s="4" t="s">
        <v>60</v>
      </c>
      <c r="I465" s="4">
        <v>1</v>
      </c>
      <c r="J465" s="4">
        <v>622</v>
      </c>
      <c r="K465" s="4">
        <v>3</v>
      </c>
      <c r="L465" s="4" t="s">
        <v>46</v>
      </c>
      <c r="M465" s="4">
        <v>66</v>
      </c>
      <c r="N465" s="4">
        <v>1</v>
      </c>
      <c r="O465" s="4">
        <v>1</v>
      </c>
      <c r="P465" s="4" t="s">
        <v>50</v>
      </c>
      <c r="Q465" s="4">
        <v>4</v>
      </c>
      <c r="R465" s="4" t="s">
        <v>41</v>
      </c>
      <c r="S465" s="4">
        <v>2340</v>
      </c>
      <c r="T465" s="4">
        <v>23213</v>
      </c>
      <c r="U465" s="4">
        <v>1</v>
      </c>
      <c r="V465" s="4" t="s">
        <v>42</v>
      </c>
      <c r="W465" s="4" t="s">
        <v>35</v>
      </c>
      <c r="X465" s="4">
        <v>18</v>
      </c>
      <c r="Y465" s="4">
        <v>3</v>
      </c>
      <c r="Z465" s="4">
        <v>2</v>
      </c>
      <c r="AA465" s="4">
        <v>80</v>
      </c>
      <c r="AB465" s="4">
        <v>0</v>
      </c>
      <c r="AC465" s="4">
        <v>1</v>
      </c>
      <c r="AD465" s="4">
        <v>3</v>
      </c>
      <c r="AE465" s="4">
        <v>1</v>
      </c>
      <c r="AF465" s="4">
        <v>1</v>
      </c>
      <c r="AG465" s="4">
        <v>0</v>
      </c>
      <c r="AH465" s="4">
        <v>0</v>
      </c>
      <c r="AI465" s="4">
        <v>0</v>
      </c>
      <c r="AJ465" s="4"/>
      <c r="AK465" s="4"/>
      <c r="AL465" s="4"/>
      <c r="AM465" s="4"/>
      <c r="AN465" s="4"/>
      <c r="AO465" s="4"/>
    </row>
    <row r="466" spans="1:41" hidden="1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41" hidden="1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41" hidden="1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41" hidden="1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41" x14ac:dyDescent="0.3">
      <c r="A470" s="4">
        <v>52</v>
      </c>
      <c r="B470" s="4" t="s">
        <v>43</v>
      </c>
      <c r="C470" s="4" t="s">
        <v>36</v>
      </c>
      <c r="D470" s="4">
        <v>956</v>
      </c>
      <c r="E470" s="4" t="s">
        <v>45</v>
      </c>
      <c r="F470" s="4">
        <v>6</v>
      </c>
      <c r="G470" s="4">
        <v>2</v>
      </c>
      <c r="H470" s="4" t="s">
        <v>60</v>
      </c>
      <c r="I470" s="4">
        <v>1</v>
      </c>
      <c r="J470" s="4">
        <v>630</v>
      </c>
      <c r="K470" s="4">
        <v>4</v>
      </c>
      <c r="L470" s="4" t="s">
        <v>46</v>
      </c>
      <c r="M470" s="4">
        <v>78</v>
      </c>
      <c r="N470" s="4">
        <v>3</v>
      </c>
      <c r="O470" s="4">
        <v>2</v>
      </c>
      <c r="P470" s="4" t="s">
        <v>47</v>
      </c>
      <c r="Q470" s="4">
        <v>1</v>
      </c>
      <c r="R470" s="4" t="s">
        <v>52</v>
      </c>
      <c r="S470" s="4">
        <v>5577</v>
      </c>
      <c r="T470" s="4">
        <v>22087</v>
      </c>
      <c r="U470" s="4">
        <v>3</v>
      </c>
      <c r="V470" s="4" t="s">
        <v>42</v>
      </c>
      <c r="W470" s="4" t="s">
        <v>35</v>
      </c>
      <c r="X470" s="4">
        <v>12</v>
      </c>
      <c r="Y470" s="4">
        <v>3</v>
      </c>
      <c r="Z470" s="4">
        <v>2</v>
      </c>
      <c r="AA470" s="4">
        <v>80</v>
      </c>
      <c r="AB470" s="4">
        <v>2</v>
      </c>
      <c r="AC470" s="4">
        <v>18</v>
      </c>
      <c r="AD470" s="4">
        <v>3</v>
      </c>
      <c r="AE470" s="4">
        <v>3</v>
      </c>
      <c r="AF470" s="4">
        <v>10</v>
      </c>
      <c r="AG470" s="4">
        <v>9</v>
      </c>
      <c r="AH470" s="4">
        <v>6</v>
      </c>
      <c r="AI470" s="4">
        <v>9</v>
      </c>
      <c r="AJ470" s="4"/>
      <c r="AK470" s="4"/>
      <c r="AL470" s="4"/>
      <c r="AM470" s="4"/>
      <c r="AN470" s="4"/>
      <c r="AO470" s="4"/>
    </row>
    <row r="471" spans="1:41" hidden="1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41" hidden="1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41" hidden="1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41" hidden="1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41" x14ac:dyDescent="0.3">
      <c r="A475" s="4">
        <v>49</v>
      </c>
      <c r="B475" s="4" t="s">
        <v>43</v>
      </c>
      <c r="C475" s="4" t="s">
        <v>36</v>
      </c>
      <c r="D475" s="4">
        <v>1245</v>
      </c>
      <c r="E475" s="4" t="s">
        <v>45</v>
      </c>
      <c r="F475" s="4">
        <v>18</v>
      </c>
      <c r="G475" s="4">
        <v>4</v>
      </c>
      <c r="H475" s="4" t="s">
        <v>38</v>
      </c>
      <c r="I475" s="4">
        <v>1</v>
      </c>
      <c r="J475" s="4">
        <v>638</v>
      </c>
      <c r="K475" s="4">
        <v>4</v>
      </c>
      <c r="L475" s="4" t="s">
        <v>46</v>
      </c>
      <c r="M475" s="4">
        <v>58</v>
      </c>
      <c r="N475" s="4">
        <v>2</v>
      </c>
      <c r="O475" s="4">
        <v>5</v>
      </c>
      <c r="P475" s="4" t="s">
        <v>58</v>
      </c>
      <c r="Q475" s="4">
        <v>3</v>
      </c>
      <c r="R475" s="4" t="s">
        <v>52</v>
      </c>
      <c r="S475" s="4">
        <v>19502</v>
      </c>
      <c r="T475" s="4">
        <v>2125</v>
      </c>
      <c r="U475" s="4">
        <v>1</v>
      </c>
      <c r="V475" s="4" t="s">
        <v>42</v>
      </c>
      <c r="W475" s="4" t="s">
        <v>35</v>
      </c>
      <c r="X475" s="4">
        <v>17</v>
      </c>
      <c r="Y475" s="4">
        <v>3</v>
      </c>
      <c r="Z475" s="4">
        <v>3</v>
      </c>
      <c r="AA475" s="4">
        <v>80</v>
      </c>
      <c r="AB475" s="4">
        <v>1</v>
      </c>
      <c r="AC475" s="4">
        <v>31</v>
      </c>
      <c r="AD475" s="4">
        <v>5</v>
      </c>
      <c r="AE475" s="4">
        <v>3</v>
      </c>
      <c r="AF475" s="4">
        <v>31</v>
      </c>
      <c r="AG475" s="4">
        <v>9</v>
      </c>
      <c r="AH475" s="4">
        <v>0</v>
      </c>
      <c r="AI475" s="4">
        <v>9</v>
      </c>
      <c r="AJ475" s="4"/>
      <c r="AK475" s="4"/>
      <c r="AL475" s="4"/>
      <c r="AM475" s="4"/>
      <c r="AN475" s="4"/>
      <c r="AO475" s="4"/>
    </row>
    <row r="476" spans="1:41" x14ac:dyDescent="0.3">
      <c r="A476" s="4">
        <v>24</v>
      </c>
      <c r="B476" s="4" t="s">
        <v>43</v>
      </c>
      <c r="C476" s="4" t="s">
        <v>36</v>
      </c>
      <c r="D476" s="4">
        <v>691</v>
      </c>
      <c r="E476" s="4" t="s">
        <v>45</v>
      </c>
      <c r="F476" s="4">
        <v>23</v>
      </c>
      <c r="G476" s="4">
        <v>3</v>
      </c>
      <c r="H476" s="4" t="s">
        <v>51</v>
      </c>
      <c r="I476" s="4">
        <v>1</v>
      </c>
      <c r="J476" s="4">
        <v>639</v>
      </c>
      <c r="K476" s="4">
        <v>2</v>
      </c>
      <c r="L476" s="4" t="s">
        <v>46</v>
      </c>
      <c r="M476" s="4">
        <v>89</v>
      </c>
      <c r="N476" s="4">
        <v>4</v>
      </c>
      <c r="O476" s="4">
        <v>1</v>
      </c>
      <c r="P476" s="4" t="s">
        <v>47</v>
      </c>
      <c r="Q476" s="4">
        <v>4</v>
      </c>
      <c r="R476" s="4" t="s">
        <v>48</v>
      </c>
      <c r="S476" s="4">
        <v>2725</v>
      </c>
      <c r="T476" s="4">
        <v>21630</v>
      </c>
      <c r="U476" s="4">
        <v>1</v>
      </c>
      <c r="V476" s="4" t="s">
        <v>42</v>
      </c>
      <c r="W476" s="4" t="s">
        <v>35</v>
      </c>
      <c r="X476" s="4">
        <v>11</v>
      </c>
      <c r="Y476" s="4">
        <v>3</v>
      </c>
      <c r="Z476" s="4">
        <v>2</v>
      </c>
      <c r="AA476" s="4">
        <v>80</v>
      </c>
      <c r="AB476" s="4">
        <v>2</v>
      </c>
      <c r="AC476" s="4">
        <v>6</v>
      </c>
      <c r="AD476" s="4">
        <v>3</v>
      </c>
      <c r="AE476" s="4">
        <v>3</v>
      </c>
      <c r="AF476" s="4">
        <v>6</v>
      </c>
      <c r="AG476" s="4">
        <v>5</v>
      </c>
      <c r="AH476" s="4">
        <v>1</v>
      </c>
      <c r="AI476" s="4">
        <v>4</v>
      </c>
      <c r="AJ476" s="4"/>
      <c r="AK476" s="4"/>
      <c r="AL476" s="4"/>
      <c r="AM476" s="4"/>
      <c r="AN476" s="4"/>
      <c r="AO476" s="4"/>
    </row>
    <row r="477" spans="1:41" hidden="1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41" hidden="1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41" hidden="1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41" hidden="1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41" x14ac:dyDescent="0.3">
      <c r="A481" s="4">
        <v>24</v>
      </c>
      <c r="B481" s="4" t="s">
        <v>35</v>
      </c>
      <c r="C481" s="4" t="s">
        <v>44</v>
      </c>
      <c r="D481" s="4">
        <v>1287</v>
      </c>
      <c r="E481" s="4" t="s">
        <v>45</v>
      </c>
      <c r="F481" s="4">
        <v>7</v>
      </c>
      <c r="G481" s="4">
        <v>3</v>
      </c>
      <c r="H481" s="4" t="s">
        <v>38</v>
      </c>
      <c r="I481" s="4">
        <v>1</v>
      </c>
      <c r="J481" s="4">
        <v>647</v>
      </c>
      <c r="K481" s="4">
        <v>1</v>
      </c>
      <c r="L481" s="4" t="s">
        <v>39</v>
      </c>
      <c r="M481" s="4">
        <v>55</v>
      </c>
      <c r="N481" s="4">
        <v>3</v>
      </c>
      <c r="O481" s="4">
        <v>1</v>
      </c>
      <c r="P481" s="4" t="s">
        <v>50</v>
      </c>
      <c r="Q481" s="4">
        <v>3</v>
      </c>
      <c r="R481" s="4" t="s">
        <v>48</v>
      </c>
      <c r="S481" s="4">
        <v>2886</v>
      </c>
      <c r="T481" s="4">
        <v>14168</v>
      </c>
      <c r="U481" s="4">
        <v>1</v>
      </c>
      <c r="V481" s="4" t="s">
        <v>42</v>
      </c>
      <c r="W481" s="4" t="s">
        <v>35</v>
      </c>
      <c r="X481" s="4">
        <v>16</v>
      </c>
      <c r="Y481" s="4">
        <v>3</v>
      </c>
      <c r="Z481" s="4">
        <v>4</v>
      </c>
      <c r="AA481" s="4">
        <v>80</v>
      </c>
      <c r="AB481" s="4">
        <v>1</v>
      </c>
      <c r="AC481" s="4">
        <v>6</v>
      </c>
      <c r="AD481" s="4">
        <v>4</v>
      </c>
      <c r="AE481" s="4">
        <v>3</v>
      </c>
      <c r="AF481" s="4">
        <v>6</v>
      </c>
      <c r="AG481" s="4">
        <v>3</v>
      </c>
      <c r="AH481" s="4">
        <v>1</v>
      </c>
      <c r="AI481" s="4">
        <v>2</v>
      </c>
      <c r="AJ481" s="4"/>
      <c r="AK481" s="4"/>
      <c r="AL481" s="4"/>
      <c r="AM481" s="4"/>
      <c r="AN481" s="4"/>
      <c r="AO481" s="4"/>
    </row>
    <row r="482" spans="1:41" hidden="1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41" x14ac:dyDescent="0.3">
      <c r="A483" s="4">
        <v>34</v>
      </c>
      <c r="B483" s="4" t="s">
        <v>43</v>
      </c>
      <c r="C483" s="4" t="s">
        <v>36</v>
      </c>
      <c r="D483" s="4">
        <v>254</v>
      </c>
      <c r="E483" s="4" t="s">
        <v>45</v>
      </c>
      <c r="F483" s="4">
        <v>1</v>
      </c>
      <c r="G483" s="4">
        <v>2</v>
      </c>
      <c r="H483" s="4" t="s">
        <v>38</v>
      </c>
      <c r="I483" s="4">
        <v>1</v>
      </c>
      <c r="J483" s="4">
        <v>649</v>
      </c>
      <c r="K483" s="4">
        <v>2</v>
      </c>
      <c r="L483" s="4" t="s">
        <v>46</v>
      </c>
      <c r="M483" s="4">
        <v>83</v>
      </c>
      <c r="N483" s="4">
        <v>2</v>
      </c>
      <c r="O483" s="4">
        <v>1</v>
      </c>
      <c r="P483" s="4" t="s">
        <v>47</v>
      </c>
      <c r="Q483" s="4">
        <v>4</v>
      </c>
      <c r="R483" s="4" t="s">
        <v>48</v>
      </c>
      <c r="S483" s="4">
        <v>3622</v>
      </c>
      <c r="T483" s="4">
        <v>22794</v>
      </c>
      <c r="U483" s="4">
        <v>1</v>
      </c>
      <c r="V483" s="4" t="s">
        <v>42</v>
      </c>
      <c r="W483" s="4" t="s">
        <v>35</v>
      </c>
      <c r="X483" s="4">
        <v>13</v>
      </c>
      <c r="Y483" s="4">
        <v>3</v>
      </c>
      <c r="Z483" s="4">
        <v>4</v>
      </c>
      <c r="AA483" s="4">
        <v>80</v>
      </c>
      <c r="AB483" s="4">
        <v>1</v>
      </c>
      <c r="AC483" s="4">
        <v>6</v>
      </c>
      <c r="AD483" s="4">
        <v>3</v>
      </c>
      <c r="AE483" s="4">
        <v>3</v>
      </c>
      <c r="AF483" s="4">
        <v>6</v>
      </c>
      <c r="AG483" s="4">
        <v>5</v>
      </c>
      <c r="AH483" s="4">
        <v>1</v>
      </c>
      <c r="AI483" s="4">
        <v>3</v>
      </c>
      <c r="AJ483" s="4"/>
      <c r="AK483" s="4"/>
      <c r="AL483" s="4"/>
      <c r="AM483" s="4"/>
      <c r="AN483" s="4"/>
      <c r="AO483" s="4"/>
    </row>
    <row r="484" spans="1:41" hidden="1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41" hidden="1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41" hidden="1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41" hidden="1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41" x14ac:dyDescent="0.3">
      <c r="A488" s="4">
        <v>37</v>
      </c>
      <c r="B488" s="4" t="s">
        <v>43</v>
      </c>
      <c r="C488" s="4" t="s">
        <v>36</v>
      </c>
      <c r="D488" s="4">
        <v>558</v>
      </c>
      <c r="E488" s="4" t="s">
        <v>37</v>
      </c>
      <c r="F488" s="4">
        <v>2</v>
      </c>
      <c r="G488" s="4">
        <v>3</v>
      </c>
      <c r="H488" s="4" t="s">
        <v>59</v>
      </c>
      <c r="I488" s="4">
        <v>1</v>
      </c>
      <c r="J488" s="4">
        <v>656</v>
      </c>
      <c r="K488" s="4">
        <v>4</v>
      </c>
      <c r="L488" s="4" t="s">
        <v>46</v>
      </c>
      <c r="M488" s="4">
        <v>75</v>
      </c>
      <c r="N488" s="4">
        <v>3</v>
      </c>
      <c r="O488" s="4">
        <v>2</v>
      </c>
      <c r="P488" s="4" t="s">
        <v>40</v>
      </c>
      <c r="Q488" s="4">
        <v>3</v>
      </c>
      <c r="R488" s="4" t="s">
        <v>48</v>
      </c>
      <c r="S488" s="4">
        <v>9602</v>
      </c>
      <c r="T488" s="4">
        <v>3010</v>
      </c>
      <c r="U488" s="4">
        <v>4</v>
      </c>
      <c r="V488" s="4" t="s">
        <v>42</v>
      </c>
      <c r="W488" s="4" t="s">
        <v>35</v>
      </c>
      <c r="X488" s="4">
        <v>11</v>
      </c>
      <c r="Y488" s="4">
        <v>3</v>
      </c>
      <c r="Z488" s="4">
        <v>3</v>
      </c>
      <c r="AA488" s="4">
        <v>80</v>
      </c>
      <c r="AB488" s="4">
        <v>1</v>
      </c>
      <c r="AC488" s="4">
        <v>17</v>
      </c>
      <c r="AD488" s="4">
        <v>3</v>
      </c>
      <c r="AE488" s="4">
        <v>2</v>
      </c>
      <c r="AF488" s="4">
        <v>3</v>
      </c>
      <c r="AG488" s="4">
        <v>0</v>
      </c>
      <c r="AH488" s="4">
        <v>1</v>
      </c>
      <c r="AI488" s="4">
        <v>0</v>
      </c>
      <c r="AJ488" s="4"/>
      <c r="AK488" s="4"/>
      <c r="AL488" s="4"/>
      <c r="AM488" s="4"/>
      <c r="AN488" s="4"/>
      <c r="AO488" s="4"/>
    </row>
    <row r="489" spans="1:41" hidden="1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41" hidden="1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41" x14ac:dyDescent="0.3">
      <c r="A491" s="4">
        <v>43</v>
      </c>
      <c r="B491" s="4" t="s">
        <v>43</v>
      </c>
      <c r="C491" s="4" t="s">
        <v>36</v>
      </c>
      <c r="D491" s="4">
        <v>782</v>
      </c>
      <c r="E491" s="4" t="s">
        <v>45</v>
      </c>
      <c r="F491" s="4">
        <v>6</v>
      </c>
      <c r="G491" s="4">
        <v>4</v>
      </c>
      <c r="H491" s="4" t="s">
        <v>49</v>
      </c>
      <c r="I491" s="4">
        <v>1</v>
      </c>
      <c r="J491" s="4">
        <v>661</v>
      </c>
      <c r="K491" s="4">
        <v>2</v>
      </c>
      <c r="L491" s="4" t="s">
        <v>46</v>
      </c>
      <c r="M491" s="4">
        <v>50</v>
      </c>
      <c r="N491" s="4">
        <v>2</v>
      </c>
      <c r="O491" s="4">
        <v>4</v>
      </c>
      <c r="P491" s="4" t="s">
        <v>58</v>
      </c>
      <c r="Q491" s="4">
        <v>4</v>
      </c>
      <c r="R491" s="4" t="s">
        <v>52</v>
      </c>
      <c r="S491" s="4">
        <v>16627</v>
      </c>
      <c r="T491" s="4">
        <v>2671</v>
      </c>
      <c r="U491" s="4">
        <v>4</v>
      </c>
      <c r="V491" s="4" t="s">
        <v>42</v>
      </c>
      <c r="W491" s="4" t="s">
        <v>35</v>
      </c>
      <c r="X491" s="4">
        <v>14</v>
      </c>
      <c r="Y491" s="4">
        <v>3</v>
      </c>
      <c r="Z491" s="4">
        <v>3</v>
      </c>
      <c r="AA491" s="4">
        <v>80</v>
      </c>
      <c r="AB491" s="4">
        <v>1</v>
      </c>
      <c r="AC491" s="4">
        <v>21</v>
      </c>
      <c r="AD491" s="4">
        <v>3</v>
      </c>
      <c r="AE491" s="4">
        <v>2</v>
      </c>
      <c r="AF491" s="4">
        <v>1</v>
      </c>
      <c r="AG491" s="4">
        <v>0</v>
      </c>
      <c r="AH491" s="4">
        <v>0</v>
      </c>
      <c r="AI491" s="4">
        <v>0</v>
      </c>
      <c r="AJ491" s="4"/>
      <c r="AK491" s="4"/>
      <c r="AL491" s="4"/>
      <c r="AM491" s="4"/>
      <c r="AN491" s="4"/>
      <c r="AO491" s="4"/>
    </row>
    <row r="492" spans="1:41" hidden="1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41" x14ac:dyDescent="0.3">
      <c r="A493" s="4">
        <v>43</v>
      </c>
      <c r="B493" s="4" t="s">
        <v>43</v>
      </c>
      <c r="C493" s="4" t="s">
        <v>44</v>
      </c>
      <c r="D493" s="4">
        <v>1001</v>
      </c>
      <c r="E493" s="4" t="s">
        <v>45</v>
      </c>
      <c r="F493" s="4">
        <v>9</v>
      </c>
      <c r="G493" s="4">
        <v>5</v>
      </c>
      <c r="H493" s="4" t="s">
        <v>51</v>
      </c>
      <c r="I493" s="4">
        <v>1</v>
      </c>
      <c r="J493" s="4">
        <v>663</v>
      </c>
      <c r="K493" s="4">
        <v>4</v>
      </c>
      <c r="L493" s="4" t="s">
        <v>46</v>
      </c>
      <c r="M493" s="4">
        <v>72</v>
      </c>
      <c r="N493" s="4">
        <v>3</v>
      </c>
      <c r="O493" s="4">
        <v>2</v>
      </c>
      <c r="P493" s="4" t="s">
        <v>50</v>
      </c>
      <c r="Q493" s="4">
        <v>3</v>
      </c>
      <c r="R493" s="4" t="s">
        <v>52</v>
      </c>
      <c r="S493" s="4">
        <v>5679</v>
      </c>
      <c r="T493" s="4">
        <v>19627</v>
      </c>
      <c r="U493" s="4">
        <v>3</v>
      </c>
      <c r="V493" s="4" t="s">
        <v>42</v>
      </c>
      <c r="W493" s="4" t="s">
        <v>35</v>
      </c>
      <c r="X493" s="4">
        <v>13</v>
      </c>
      <c r="Y493" s="4">
        <v>3</v>
      </c>
      <c r="Z493" s="4">
        <v>2</v>
      </c>
      <c r="AA493" s="4">
        <v>80</v>
      </c>
      <c r="AB493" s="4">
        <v>1</v>
      </c>
      <c r="AC493" s="4">
        <v>10</v>
      </c>
      <c r="AD493" s="4">
        <v>3</v>
      </c>
      <c r="AE493" s="4">
        <v>3</v>
      </c>
      <c r="AF493" s="4">
        <v>8</v>
      </c>
      <c r="AG493" s="4">
        <v>7</v>
      </c>
      <c r="AH493" s="4">
        <v>4</v>
      </c>
      <c r="AI493" s="4">
        <v>7</v>
      </c>
      <c r="AJ493" s="4"/>
      <c r="AK493" s="4"/>
      <c r="AL493" s="4"/>
      <c r="AM493" s="4"/>
      <c r="AN493" s="4"/>
      <c r="AO493" s="4"/>
    </row>
    <row r="494" spans="1:41" hidden="1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41" hidden="1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41" x14ac:dyDescent="0.3">
      <c r="A496" s="4">
        <v>34</v>
      </c>
      <c r="B496" s="4" t="s">
        <v>43</v>
      </c>
      <c r="C496" s="4" t="s">
        <v>36</v>
      </c>
      <c r="D496" s="4">
        <v>204</v>
      </c>
      <c r="E496" s="4" t="s">
        <v>37</v>
      </c>
      <c r="F496" s="4">
        <v>14</v>
      </c>
      <c r="G496" s="4">
        <v>3</v>
      </c>
      <c r="H496" s="4" t="s">
        <v>60</v>
      </c>
      <c r="I496" s="4">
        <v>1</v>
      </c>
      <c r="J496" s="4">
        <v>666</v>
      </c>
      <c r="K496" s="4">
        <v>3</v>
      </c>
      <c r="L496" s="4" t="s">
        <v>39</v>
      </c>
      <c r="M496" s="4">
        <v>31</v>
      </c>
      <c r="N496" s="4">
        <v>3</v>
      </c>
      <c r="O496" s="4">
        <v>1</v>
      </c>
      <c r="P496" s="4" t="s">
        <v>57</v>
      </c>
      <c r="Q496" s="4">
        <v>3</v>
      </c>
      <c r="R496" s="4" t="s">
        <v>52</v>
      </c>
      <c r="S496" s="4">
        <v>2579</v>
      </c>
      <c r="T496" s="4">
        <v>2912</v>
      </c>
      <c r="U496" s="4">
        <v>1</v>
      </c>
      <c r="V496" s="4" t="s">
        <v>42</v>
      </c>
      <c r="W496" s="4" t="s">
        <v>35</v>
      </c>
      <c r="X496" s="4">
        <v>18</v>
      </c>
      <c r="Y496" s="4">
        <v>3</v>
      </c>
      <c r="Z496" s="4">
        <v>4</v>
      </c>
      <c r="AA496" s="4">
        <v>80</v>
      </c>
      <c r="AB496" s="4">
        <v>2</v>
      </c>
      <c r="AC496" s="4">
        <v>8</v>
      </c>
      <c r="AD496" s="4">
        <v>3</v>
      </c>
      <c r="AE496" s="4">
        <v>3</v>
      </c>
      <c r="AF496" s="4">
        <v>8</v>
      </c>
      <c r="AG496" s="4">
        <v>2</v>
      </c>
      <c r="AH496" s="4">
        <v>0</v>
      </c>
      <c r="AI496" s="4">
        <v>6</v>
      </c>
      <c r="AJ496" s="4"/>
      <c r="AK496" s="4"/>
      <c r="AL496" s="4"/>
      <c r="AM496" s="4"/>
      <c r="AN496" s="4"/>
      <c r="AO496" s="4"/>
    </row>
    <row r="497" spans="1:41" hidden="1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41" hidden="1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41" x14ac:dyDescent="0.3">
      <c r="A499" s="4">
        <v>44</v>
      </c>
      <c r="B499" s="4" t="s">
        <v>43</v>
      </c>
      <c r="C499" s="4" t="s">
        <v>36</v>
      </c>
      <c r="D499" s="4">
        <v>1315</v>
      </c>
      <c r="E499" s="4" t="s">
        <v>45</v>
      </c>
      <c r="F499" s="4">
        <v>3</v>
      </c>
      <c r="G499" s="4">
        <v>4</v>
      </c>
      <c r="H499" s="4" t="s">
        <v>49</v>
      </c>
      <c r="I499" s="4">
        <v>1</v>
      </c>
      <c r="J499" s="4">
        <v>671</v>
      </c>
      <c r="K499" s="4">
        <v>4</v>
      </c>
      <c r="L499" s="4" t="s">
        <v>46</v>
      </c>
      <c r="M499" s="4">
        <v>35</v>
      </c>
      <c r="N499" s="4">
        <v>3</v>
      </c>
      <c r="O499" s="4">
        <v>5</v>
      </c>
      <c r="P499" s="4" t="s">
        <v>56</v>
      </c>
      <c r="Q499" s="4">
        <v>4</v>
      </c>
      <c r="R499" s="4" t="s">
        <v>48</v>
      </c>
      <c r="S499" s="4">
        <v>19513</v>
      </c>
      <c r="T499" s="4">
        <v>9358</v>
      </c>
      <c r="U499" s="4">
        <v>4</v>
      </c>
      <c r="V499" s="4" t="s">
        <v>42</v>
      </c>
      <c r="W499" s="4" t="s">
        <v>35</v>
      </c>
      <c r="X499" s="4">
        <v>12</v>
      </c>
      <c r="Y499" s="4">
        <v>3</v>
      </c>
      <c r="Z499" s="4">
        <v>1</v>
      </c>
      <c r="AA499" s="4">
        <v>80</v>
      </c>
      <c r="AB499" s="4">
        <v>1</v>
      </c>
      <c r="AC499" s="4">
        <v>26</v>
      </c>
      <c r="AD499" s="4">
        <v>2</v>
      </c>
      <c r="AE499" s="4">
        <v>4</v>
      </c>
      <c r="AF499" s="4">
        <v>2</v>
      </c>
      <c r="AG499" s="4">
        <v>2</v>
      </c>
      <c r="AH499" s="4">
        <v>0</v>
      </c>
      <c r="AI499" s="4">
        <v>1</v>
      </c>
      <c r="AJ499" s="4"/>
      <c r="AK499" s="4"/>
      <c r="AL499" s="4"/>
      <c r="AM499" s="4"/>
      <c r="AN499" s="4"/>
      <c r="AO499" s="4"/>
    </row>
    <row r="500" spans="1:41" hidden="1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41" hidden="1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41" x14ac:dyDescent="0.3">
      <c r="A502" s="4">
        <v>32</v>
      </c>
      <c r="B502" s="4" t="s">
        <v>43</v>
      </c>
      <c r="C502" s="4" t="s">
        <v>36</v>
      </c>
      <c r="D502" s="4">
        <v>646</v>
      </c>
      <c r="E502" s="4" t="s">
        <v>45</v>
      </c>
      <c r="F502" s="4">
        <v>9</v>
      </c>
      <c r="G502" s="4">
        <v>4</v>
      </c>
      <c r="H502" s="4" t="s">
        <v>38</v>
      </c>
      <c r="I502" s="4">
        <v>1</v>
      </c>
      <c r="J502" s="4">
        <v>679</v>
      </c>
      <c r="K502" s="4">
        <v>1</v>
      </c>
      <c r="L502" s="4" t="s">
        <v>39</v>
      </c>
      <c r="M502" s="4">
        <v>92</v>
      </c>
      <c r="N502" s="4">
        <v>3</v>
      </c>
      <c r="O502" s="4">
        <v>2</v>
      </c>
      <c r="P502" s="4" t="s">
        <v>47</v>
      </c>
      <c r="Q502" s="4">
        <v>4</v>
      </c>
      <c r="R502" s="4" t="s">
        <v>48</v>
      </c>
      <c r="S502" s="4">
        <v>6322</v>
      </c>
      <c r="T502" s="4">
        <v>18089</v>
      </c>
      <c r="U502" s="4">
        <v>1</v>
      </c>
      <c r="V502" s="4" t="s">
        <v>42</v>
      </c>
      <c r="W502" s="4" t="s">
        <v>35</v>
      </c>
      <c r="X502" s="4">
        <v>12</v>
      </c>
      <c r="Y502" s="4">
        <v>3</v>
      </c>
      <c r="Z502" s="4">
        <v>4</v>
      </c>
      <c r="AA502" s="4">
        <v>80</v>
      </c>
      <c r="AB502" s="4">
        <v>1</v>
      </c>
      <c r="AC502" s="4">
        <v>6</v>
      </c>
      <c r="AD502" s="4">
        <v>2</v>
      </c>
      <c r="AE502" s="4">
        <v>2</v>
      </c>
      <c r="AF502" s="4">
        <v>6</v>
      </c>
      <c r="AG502" s="4">
        <v>4</v>
      </c>
      <c r="AH502" s="4">
        <v>0</v>
      </c>
      <c r="AI502" s="4">
        <v>5</v>
      </c>
      <c r="AJ502" s="4"/>
      <c r="AK502" s="4"/>
      <c r="AL502" s="4"/>
      <c r="AM502" s="4"/>
      <c r="AN502" s="4"/>
      <c r="AO502" s="4"/>
    </row>
    <row r="503" spans="1:41" hidden="1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41" hidden="1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41" hidden="1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41" hidden="1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41" x14ac:dyDescent="0.3">
      <c r="A507" s="4">
        <v>26</v>
      </c>
      <c r="B507" s="4" t="s">
        <v>43</v>
      </c>
      <c r="C507" s="4" t="s">
        <v>36</v>
      </c>
      <c r="D507" s="4">
        <v>991</v>
      </c>
      <c r="E507" s="4" t="s">
        <v>45</v>
      </c>
      <c r="F507" s="4">
        <v>6</v>
      </c>
      <c r="G507" s="4">
        <v>3</v>
      </c>
      <c r="H507" s="4" t="s">
        <v>38</v>
      </c>
      <c r="I507" s="4">
        <v>1</v>
      </c>
      <c r="J507" s="4">
        <v>686</v>
      </c>
      <c r="K507" s="4">
        <v>3</v>
      </c>
      <c r="L507" s="4" t="s">
        <v>39</v>
      </c>
      <c r="M507" s="4">
        <v>71</v>
      </c>
      <c r="N507" s="4">
        <v>3</v>
      </c>
      <c r="O507" s="4">
        <v>1</v>
      </c>
      <c r="P507" s="4" t="s">
        <v>50</v>
      </c>
      <c r="Q507" s="4">
        <v>4</v>
      </c>
      <c r="R507" s="4" t="s">
        <v>48</v>
      </c>
      <c r="S507" s="4">
        <v>2659</v>
      </c>
      <c r="T507" s="4">
        <v>17759</v>
      </c>
      <c r="U507" s="4">
        <v>1</v>
      </c>
      <c r="V507" s="4" t="s">
        <v>42</v>
      </c>
      <c r="W507" s="4" t="s">
        <v>35</v>
      </c>
      <c r="X507" s="4">
        <v>13</v>
      </c>
      <c r="Y507" s="4">
        <v>3</v>
      </c>
      <c r="Z507" s="4">
        <v>3</v>
      </c>
      <c r="AA507" s="4">
        <v>80</v>
      </c>
      <c r="AB507" s="4">
        <v>1</v>
      </c>
      <c r="AC507" s="4">
        <v>3</v>
      </c>
      <c r="AD507" s="4">
        <v>2</v>
      </c>
      <c r="AE507" s="4">
        <v>3</v>
      </c>
      <c r="AF507" s="4">
        <v>3</v>
      </c>
      <c r="AG507" s="4">
        <v>2</v>
      </c>
      <c r="AH507" s="4">
        <v>0</v>
      </c>
      <c r="AI507" s="4">
        <v>2</v>
      </c>
      <c r="AJ507" s="4"/>
      <c r="AK507" s="4"/>
      <c r="AL507" s="4"/>
      <c r="AM507" s="4"/>
      <c r="AN507" s="4"/>
      <c r="AO507" s="4"/>
    </row>
    <row r="508" spans="1:41" hidden="1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41" hidden="1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41" hidden="1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41" hidden="1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41" hidden="1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41" x14ac:dyDescent="0.3">
      <c r="A513" s="4">
        <v>36</v>
      </c>
      <c r="B513" s="4" t="s">
        <v>43</v>
      </c>
      <c r="C513" s="4" t="s">
        <v>36</v>
      </c>
      <c r="D513" s="4">
        <v>913</v>
      </c>
      <c r="E513" s="4" t="s">
        <v>45</v>
      </c>
      <c r="F513" s="4">
        <v>9</v>
      </c>
      <c r="G513" s="4">
        <v>2</v>
      </c>
      <c r="H513" s="4" t="s">
        <v>51</v>
      </c>
      <c r="I513" s="4">
        <v>1</v>
      </c>
      <c r="J513" s="4">
        <v>699</v>
      </c>
      <c r="K513" s="4">
        <v>2</v>
      </c>
      <c r="L513" s="4" t="s">
        <v>46</v>
      </c>
      <c r="M513" s="4">
        <v>48</v>
      </c>
      <c r="N513" s="4">
        <v>2</v>
      </c>
      <c r="O513" s="4">
        <v>2</v>
      </c>
      <c r="P513" s="4" t="s">
        <v>53</v>
      </c>
      <c r="Q513" s="4">
        <v>2</v>
      </c>
      <c r="R513" s="4" t="s">
        <v>52</v>
      </c>
      <c r="S513" s="4">
        <v>8847</v>
      </c>
      <c r="T513" s="4">
        <v>13934</v>
      </c>
      <c r="U513" s="4">
        <v>2</v>
      </c>
      <c r="V513" s="4" t="s">
        <v>42</v>
      </c>
      <c r="W513" s="4" t="s">
        <v>35</v>
      </c>
      <c r="X513" s="4">
        <v>11</v>
      </c>
      <c r="Y513" s="4">
        <v>3</v>
      </c>
      <c r="Z513" s="4">
        <v>3</v>
      </c>
      <c r="AA513" s="4">
        <v>80</v>
      </c>
      <c r="AB513" s="4">
        <v>1</v>
      </c>
      <c r="AC513" s="4">
        <v>13</v>
      </c>
      <c r="AD513" s="4">
        <v>2</v>
      </c>
      <c r="AE513" s="4">
        <v>3</v>
      </c>
      <c r="AF513" s="4">
        <v>3</v>
      </c>
      <c r="AG513" s="4">
        <v>2</v>
      </c>
      <c r="AH513" s="4">
        <v>0</v>
      </c>
      <c r="AI513" s="4">
        <v>2</v>
      </c>
      <c r="AJ513" s="4"/>
      <c r="AK513" s="4"/>
      <c r="AL513" s="4"/>
      <c r="AM513" s="4"/>
      <c r="AN513" s="4"/>
      <c r="AO513" s="4"/>
    </row>
    <row r="514" spans="1:41" hidden="1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41" x14ac:dyDescent="0.3">
      <c r="A515" s="4">
        <v>20</v>
      </c>
      <c r="B515" s="4" t="s">
        <v>35</v>
      </c>
      <c r="C515" s="4" t="s">
        <v>36</v>
      </c>
      <c r="D515" s="4">
        <v>1362</v>
      </c>
      <c r="E515" s="4" t="s">
        <v>45</v>
      </c>
      <c r="F515" s="4">
        <v>10</v>
      </c>
      <c r="G515" s="4">
        <v>1</v>
      </c>
      <c r="H515" s="4" t="s">
        <v>51</v>
      </c>
      <c r="I515" s="4">
        <v>1</v>
      </c>
      <c r="J515" s="4">
        <v>701</v>
      </c>
      <c r="K515" s="4">
        <v>4</v>
      </c>
      <c r="L515" s="4" t="s">
        <v>46</v>
      </c>
      <c r="M515" s="4">
        <v>32</v>
      </c>
      <c r="N515" s="4">
        <v>3</v>
      </c>
      <c r="O515" s="4">
        <v>1</v>
      </c>
      <c r="P515" s="4" t="s">
        <v>47</v>
      </c>
      <c r="Q515" s="4">
        <v>3</v>
      </c>
      <c r="R515" s="4" t="s">
        <v>41</v>
      </c>
      <c r="S515" s="4">
        <v>1009</v>
      </c>
      <c r="T515" s="4">
        <v>26999</v>
      </c>
      <c r="U515" s="4">
        <v>1</v>
      </c>
      <c r="V515" s="4" t="s">
        <v>42</v>
      </c>
      <c r="W515" s="4" t="s">
        <v>35</v>
      </c>
      <c r="X515" s="4">
        <v>11</v>
      </c>
      <c r="Y515" s="4">
        <v>3</v>
      </c>
      <c r="Z515" s="4">
        <v>4</v>
      </c>
      <c r="AA515" s="4">
        <v>80</v>
      </c>
      <c r="AB515" s="4">
        <v>0</v>
      </c>
      <c r="AC515" s="4">
        <v>1</v>
      </c>
      <c r="AD515" s="4">
        <v>5</v>
      </c>
      <c r="AE515" s="4">
        <v>3</v>
      </c>
      <c r="AF515" s="4">
        <v>1</v>
      </c>
      <c r="AG515" s="4">
        <v>0</v>
      </c>
      <c r="AH515" s="4">
        <v>1</v>
      </c>
      <c r="AI515" s="4">
        <v>1</v>
      </c>
      <c r="AJ515" s="4"/>
      <c r="AK515" s="4"/>
      <c r="AL515" s="4"/>
      <c r="AM515" s="4"/>
      <c r="AN515" s="4"/>
      <c r="AO515" s="4"/>
    </row>
    <row r="516" spans="1:41" x14ac:dyDescent="0.3">
      <c r="A516" s="4">
        <v>33</v>
      </c>
      <c r="B516" s="4" t="s">
        <v>35</v>
      </c>
      <c r="C516" s="4" t="s">
        <v>44</v>
      </c>
      <c r="D516" s="4">
        <v>1076</v>
      </c>
      <c r="E516" s="4" t="s">
        <v>45</v>
      </c>
      <c r="F516" s="4">
        <v>3</v>
      </c>
      <c r="G516" s="4">
        <v>3</v>
      </c>
      <c r="H516" s="4" t="s">
        <v>38</v>
      </c>
      <c r="I516" s="4">
        <v>1</v>
      </c>
      <c r="J516" s="4">
        <v>702</v>
      </c>
      <c r="K516" s="4">
        <v>1</v>
      </c>
      <c r="L516" s="4" t="s">
        <v>46</v>
      </c>
      <c r="M516" s="4">
        <v>70</v>
      </c>
      <c r="N516" s="4">
        <v>3</v>
      </c>
      <c r="O516" s="4">
        <v>1</v>
      </c>
      <c r="P516" s="4" t="s">
        <v>47</v>
      </c>
      <c r="Q516" s="4">
        <v>1</v>
      </c>
      <c r="R516" s="4" t="s">
        <v>41</v>
      </c>
      <c r="S516" s="4">
        <v>3348</v>
      </c>
      <c r="T516" s="4">
        <v>3164</v>
      </c>
      <c r="U516" s="4">
        <v>1</v>
      </c>
      <c r="V516" s="4" t="s">
        <v>42</v>
      </c>
      <c r="W516" s="4" t="s">
        <v>35</v>
      </c>
      <c r="X516" s="4">
        <v>11</v>
      </c>
      <c r="Y516" s="4">
        <v>3</v>
      </c>
      <c r="Z516" s="4">
        <v>1</v>
      </c>
      <c r="AA516" s="4">
        <v>80</v>
      </c>
      <c r="AB516" s="4">
        <v>0</v>
      </c>
      <c r="AC516" s="4">
        <v>10</v>
      </c>
      <c r="AD516" s="4">
        <v>3</v>
      </c>
      <c r="AE516" s="4">
        <v>3</v>
      </c>
      <c r="AF516" s="4">
        <v>10</v>
      </c>
      <c r="AG516" s="4">
        <v>8</v>
      </c>
      <c r="AH516" s="4">
        <v>9</v>
      </c>
      <c r="AI516" s="4">
        <v>7</v>
      </c>
      <c r="AJ516" s="4"/>
      <c r="AK516" s="4"/>
      <c r="AL516" s="4"/>
      <c r="AM516" s="4"/>
      <c r="AN516" s="4"/>
      <c r="AO516" s="4"/>
    </row>
    <row r="517" spans="1:41" hidden="1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41" hidden="1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41" hidden="1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41" hidden="1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41" hidden="1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41" hidden="1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41" x14ac:dyDescent="0.3">
      <c r="A523" s="4">
        <v>27</v>
      </c>
      <c r="B523" s="4" t="s">
        <v>43</v>
      </c>
      <c r="C523" s="4" t="s">
        <v>44</v>
      </c>
      <c r="D523" s="4">
        <v>1410</v>
      </c>
      <c r="E523" s="4" t="s">
        <v>37</v>
      </c>
      <c r="F523" s="4">
        <v>3</v>
      </c>
      <c r="G523" s="4">
        <v>1</v>
      </c>
      <c r="H523" s="4" t="s">
        <v>51</v>
      </c>
      <c r="I523" s="4">
        <v>1</v>
      </c>
      <c r="J523" s="4">
        <v>714</v>
      </c>
      <c r="K523" s="4">
        <v>4</v>
      </c>
      <c r="L523" s="4" t="s">
        <v>39</v>
      </c>
      <c r="M523" s="4">
        <v>71</v>
      </c>
      <c r="N523" s="4">
        <v>4</v>
      </c>
      <c r="O523" s="4">
        <v>2</v>
      </c>
      <c r="P523" s="4" t="s">
        <v>40</v>
      </c>
      <c r="Q523" s="4">
        <v>4</v>
      </c>
      <c r="R523" s="4" t="s">
        <v>52</v>
      </c>
      <c r="S523" s="4">
        <v>4647</v>
      </c>
      <c r="T523" s="4">
        <v>16673</v>
      </c>
      <c r="U523" s="4">
        <v>1</v>
      </c>
      <c r="V523" s="4" t="s">
        <v>42</v>
      </c>
      <c r="W523" s="4" t="s">
        <v>35</v>
      </c>
      <c r="X523" s="4">
        <v>20</v>
      </c>
      <c r="Y523" s="4">
        <v>4</v>
      </c>
      <c r="Z523" s="4">
        <v>2</v>
      </c>
      <c r="AA523" s="4">
        <v>80</v>
      </c>
      <c r="AB523" s="4">
        <v>2</v>
      </c>
      <c r="AC523" s="4">
        <v>6</v>
      </c>
      <c r="AD523" s="4">
        <v>3</v>
      </c>
      <c r="AE523" s="4">
        <v>3</v>
      </c>
      <c r="AF523" s="4">
        <v>6</v>
      </c>
      <c r="AG523" s="4">
        <v>5</v>
      </c>
      <c r="AH523" s="4">
        <v>0</v>
      </c>
      <c r="AI523" s="4">
        <v>4</v>
      </c>
      <c r="AJ523" s="4"/>
      <c r="AK523" s="4"/>
      <c r="AL523" s="4"/>
      <c r="AM523" s="4"/>
      <c r="AN523" s="4"/>
      <c r="AO523" s="4"/>
    </row>
    <row r="524" spans="1:41" hidden="1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41" x14ac:dyDescent="0.3">
      <c r="A525" s="4">
        <v>50</v>
      </c>
      <c r="B525" s="4" t="s">
        <v>43</v>
      </c>
      <c r="C525" s="4" t="s">
        <v>36</v>
      </c>
      <c r="D525" s="4">
        <v>1207</v>
      </c>
      <c r="E525" s="4" t="s">
        <v>45</v>
      </c>
      <c r="F525" s="4">
        <v>28</v>
      </c>
      <c r="G525" s="4">
        <v>1</v>
      </c>
      <c r="H525" s="4" t="s">
        <v>51</v>
      </c>
      <c r="I525" s="4">
        <v>1</v>
      </c>
      <c r="J525" s="4">
        <v>716</v>
      </c>
      <c r="K525" s="4">
        <v>4</v>
      </c>
      <c r="L525" s="4" t="s">
        <v>46</v>
      </c>
      <c r="M525" s="4">
        <v>74</v>
      </c>
      <c r="N525" s="4">
        <v>4</v>
      </c>
      <c r="O525" s="4">
        <v>1</v>
      </c>
      <c r="P525" s="4" t="s">
        <v>50</v>
      </c>
      <c r="Q525" s="4">
        <v>3</v>
      </c>
      <c r="R525" s="4" t="s">
        <v>48</v>
      </c>
      <c r="S525" s="4">
        <v>3221</v>
      </c>
      <c r="T525" s="4">
        <v>3297</v>
      </c>
      <c r="U525" s="4">
        <v>1</v>
      </c>
      <c r="V525" s="4" t="s">
        <v>42</v>
      </c>
      <c r="W525" s="4" t="s">
        <v>35</v>
      </c>
      <c r="X525" s="4">
        <v>11</v>
      </c>
      <c r="Y525" s="4">
        <v>3</v>
      </c>
      <c r="Z525" s="4">
        <v>3</v>
      </c>
      <c r="AA525" s="4">
        <v>80</v>
      </c>
      <c r="AB525" s="4">
        <v>3</v>
      </c>
      <c r="AC525" s="4">
        <v>20</v>
      </c>
      <c r="AD525" s="4">
        <v>3</v>
      </c>
      <c r="AE525" s="4">
        <v>3</v>
      </c>
      <c r="AF525" s="4">
        <v>20</v>
      </c>
      <c r="AG525" s="4">
        <v>8</v>
      </c>
      <c r="AH525" s="4">
        <v>3</v>
      </c>
      <c r="AI525" s="4">
        <v>8</v>
      </c>
      <c r="AJ525" s="4"/>
      <c r="AK525" s="4"/>
      <c r="AL525" s="4"/>
      <c r="AM525" s="4"/>
      <c r="AN525" s="4"/>
      <c r="AO525" s="4"/>
    </row>
    <row r="526" spans="1:41" hidden="1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41" hidden="1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41" hidden="1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41" hidden="1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41" x14ac:dyDescent="0.3">
      <c r="A530" s="4">
        <v>50</v>
      </c>
      <c r="B530" s="4" t="s">
        <v>35</v>
      </c>
      <c r="C530" s="4" t="s">
        <v>44</v>
      </c>
      <c r="D530" s="4">
        <v>562</v>
      </c>
      <c r="E530" s="4" t="s">
        <v>37</v>
      </c>
      <c r="F530" s="4">
        <v>8</v>
      </c>
      <c r="G530" s="4">
        <v>2</v>
      </c>
      <c r="H530" s="4" t="s">
        <v>60</v>
      </c>
      <c r="I530" s="4">
        <v>1</v>
      </c>
      <c r="J530" s="4">
        <v>723</v>
      </c>
      <c r="K530" s="4">
        <v>2</v>
      </c>
      <c r="L530" s="4" t="s">
        <v>46</v>
      </c>
      <c r="M530" s="4">
        <v>50</v>
      </c>
      <c r="N530" s="4">
        <v>3</v>
      </c>
      <c r="O530" s="4">
        <v>2</v>
      </c>
      <c r="P530" s="4" t="s">
        <v>40</v>
      </c>
      <c r="Q530" s="4">
        <v>3</v>
      </c>
      <c r="R530" s="4" t="s">
        <v>48</v>
      </c>
      <c r="S530" s="4">
        <v>6796</v>
      </c>
      <c r="T530" s="4">
        <v>23452</v>
      </c>
      <c r="U530" s="4">
        <v>3</v>
      </c>
      <c r="V530" s="4" t="s">
        <v>42</v>
      </c>
      <c r="W530" s="4" t="s">
        <v>35</v>
      </c>
      <c r="X530" s="4">
        <v>14</v>
      </c>
      <c r="Y530" s="4">
        <v>3</v>
      </c>
      <c r="Z530" s="4">
        <v>1</v>
      </c>
      <c r="AA530" s="4">
        <v>80</v>
      </c>
      <c r="AB530" s="4">
        <v>1</v>
      </c>
      <c r="AC530" s="4">
        <v>18</v>
      </c>
      <c r="AD530" s="4">
        <v>4</v>
      </c>
      <c r="AE530" s="4">
        <v>3</v>
      </c>
      <c r="AF530" s="4">
        <v>4</v>
      </c>
      <c r="AG530" s="4">
        <v>3</v>
      </c>
      <c r="AH530" s="4">
        <v>1</v>
      </c>
      <c r="AI530" s="4">
        <v>3</v>
      </c>
      <c r="AJ530" s="4"/>
      <c r="AK530" s="4"/>
      <c r="AL530" s="4"/>
      <c r="AM530" s="4"/>
      <c r="AN530" s="4"/>
      <c r="AO530" s="4"/>
    </row>
    <row r="531" spans="1:41" hidden="1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41" hidden="1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41" hidden="1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41" hidden="1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41" x14ac:dyDescent="0.3">
      <c r="A535" s="4">
        <v>40</v>
      </c>
      <c r="B535" s="4" t="s">
        <v>43</v>
      </c>
      <c r="C535" s="4" t="s">
        <v>44</v>
      </c>
      <c r="D535" s="4">
        <v>580</v>
      </c>
      <c r="E535" s="4" t="s">
        <v>37</v>
      </c>
      <c r="F535" s="4">
        <v>5</v>
      </c>
      <c r="G535" s="4">
        <v>4</v>
      </c>
      <c r="H535" s="4" t="s">
        <v>38</v>
      </c>
      <c r="I535" s="4">
        <v>1</v>
      </c>
      <c r="J535" s="4">
        <v>729</v>
      </c>
      <c r="K535" s="4">
        <v>4</v>
      </c>
      <c r="L535" s="4" t="s">
        <v>46</v>
      </c>
      <c r="M535" s="4">
        <v>48</v>
      </c>
      <c r="N535" s="4">
        <v>2</v>
      </c>
      <c r="O535" s="4">
        <v>3</v>
      </c>
      <c r="P535" s="4" t="s">
        <v>40</v>
      </c>
      <c r="Q535" s="4">
        <v>1</v>
      </c>
      <c r="R535" s="4" t="s">
        <v>48</v>
      </c>
      <c r="S535" s="4">
        <v>10475</v>
      </c>
      <c r="T535" s="4">
        <v>23772</v>
      </c>
      <c r="U535" s="4">
        <v>5</v>
      </c>
      <c r="V535" s="4" t="s">
        <v>42</v>
      </c>
      <c r="W535" s="4" t="s">
        <v>35</v>
      </c>
      <c r="X535" s="4">
        <v>21</v>
      </c>
      <c r="Y535" s="4">
        <v>4</v>
      </c>
      <c r="Z535" s="4">
        <v>3</v>
      </c>
      <c r="AA535" s="4">
        <v>80</v>
      </c>
      <c r="AB535" s="4">
        <v>1</v>
      </c>
      <c r="AC535" s="4">
        <v>20</v>
      </c>
      <c r="AD535" s="4">
        <v>2</v>
      </c>
      <c r="AE535" s="4">
        <v>3</v>
      </c>
      <c r="AF535" s="4">
        <v>18</v>
      </c>
      <c r="AG535" s="4">
        <v>13</v>
      </c>
      <c r="AH535" s="4">
        <v>1</v>
      </c>
      <c r="AI535" s="4">
        <v>12</v>
      </c>
      <c r="AJ535" s="4"/>
      <c r="AK535" s="4"/>
      <c r="AL535" s="4"/>
      <c r="AM535" s="4"/>
      <c r="AN535" s="4"/>
      <c r="AO535" s="4"/>
    </row>
    <row r="536" spans="1:41" hidden="1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41" hidden="1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41" hidden="1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41" hidden="1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41" hidden="1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41" hidden="1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41" x14ac:dyDescent="0.3">
      <c r="A542" s="4">
        <v>28</v>
      </c>
      <c r="B542" s="4" t="s">
        <v>35</v>
      </c>
      <c r="C542" s="4" t="s">
        <v>36</v>
      </c>
      <c r="D542" s="4">
        <v>654</v>
      </c>
      <c r="E542" s="4" t="s">
        <v>45</v>
      </c>
      <c r="F542" s="4">
        <v>1</v>
      </c>
      <c r="G542" s="4">
        <v>2</v>
      </c>
      <c r="H542" s="4" t="s">
        <v>38</v>
      </c>
      <c r="I542" s="4">
        <v>1</v>
      </c>
      <c r="J542" s="4">
        <v>741</v>
      </c>
      <c r="K542" s="4">
        <v>1</v>
      </c>
      <c r="L542" s="4" t="s">
        <v>39</v>
      </c>
      <c r="M542" s="4">
        <v>67</v>
      </c>
      <c r="N542" s="4">
        <v>1</v>
      </c>
      <c r="O542" s="4">
        <v>1</v>
      </c>
      <c r="P542" s="4" t="s">
        <v>47</v>
      </c>
      <c r="Q542" s="4">
        <v>2</v>
      </c>
      <c r="R542" s="4" t="s">
        <v>41</v>
      </c>
      <c r="S542" s="4">
        <v>2216</v>
      </c>
      <c r="T542" s="4">
        <v>3872</v>
      </c>
      <c r="U542" s="4">
        <v>7</v>
      </c>
      <c r="V542" s="4" t="s">
        <v>42</v>
      </c>
      <c r="W542" s="4" t="s">
        <v>35</v>
      </c>
      <c r="X542" s="4">
        <v>13</v>
      </c>
      <c r="Y542" s="4">
        <v>3</v>
      </c>
      <c r="Z542" s="4">
        <v>4</v>
      </c>
      <c r="AA542" s="4">
        <v>80</v>
      </c>
      <c r="AB542" s="4">
        <v>0</v>
      </c>
      <c r="AC542" s="4">
        <v>10</v>
      </c>
      <c r="AD542" s="4">
        <v>4</v>
      </c>
      <c r="AE542" s="4">
        <v>3</v>
      </c>
      <c r="AF542" s="4">
        <v>7</v>
      </c>
      <c r="AG542" s="4">
        <v>7</v>
      </c>
      <c r="AH542" s="4">
        <v>3</v>
      </c>
      <c r="AI542" s="4">
        <v>7</v>
      </c>
      <c r="AJ542" s="4"/>
      <c r="AK542" s="4"/>
      <c r="AL542" s="4"/>
      <c r="AM542" s="4"/>
      <c r="AN542" s="4"/>
      <c r="AO542" s="4"/>
    </row>
    <row r="543" spans="1:41" hidden="1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41" x14ac:dyDescent="0.3">
      <c r="A544" s="4">
        <v>38</v>
      </c>
      <c r="B544" s="4" t="s">
        <v>43</v>
      </c>
      <c r="C544" s="4" t="s">
        <v>36</v>
      </c>
      <c r="D544" s="4">
        <v>168</v>
      </c>
      <c r="E544" s="4" t="s">
        <v>45</v>
      </c>
      <c r="F544" s="4">
        <v>1</v>
      </c>
      <c r="G544" s="4">
        <v>3</v>
      </c>
      <c r="H544" s="4" t="s">
        <v>38</v>
      </c>
      <c r="I544" s="4">
        <v>1</v>
      </c>
      <c r="J544" s="4">
        <v>743</v>
      </c>
      <c r="K544" s="4">
        <v>3</v>
      </c>
      <c r="L544" s="4" t="s">
        <v>39</v>
      </c>
      <c r="M544" s="4">
        <v>81</v>
      </c>
      <c r="N544" s="4">
        <v>3</v>
      </c>
      <c r="O544" s="4">
        <v>3</v>
      </c>
      <c r="P544" s="4" t="s">
        <v>53</v>
      </c>
      <c r="Q544" s="4">
        <v>3</v>
      </c>
      <c r="R544" s="4" t="s">
        <v>41</v>
      </c>
      <c r="S544" s="4">
        <v>7861</v>
      </c>
      <c r="T544" s="4">
        <v>15397</v>
      </c>
      <c r="U544" s="4">
        <v>4</v>
      </c>
      <c r="V544" s="4" t="s">
        <v>42</v>
      </c>
      <c r="W544" s="4" t="s">
        <v>35</v>
      </c>
      <c r="X544" s="4">
        <v>14</v>
      </c>
      <c r="Y544" s="4">
        <v>3</v>
      </c>
      <c r="Z544" s="4">
        <v>4</v>
      </c>
      <c r="AA544" s="4">
        <v>80</v>
      </c>
      <c r="AB544" s="4">
        <v>0</v>
      </c>
      <c r="AC544" s="4">
        <v>10</v>
      </c>
      <c r="AD544" s="4">
        <v>4</v>
      </c>
      <c r="AE544" s="4">
        <v>4</v>
      </c>
      <c r="AF544" s="4">
        <v>1</v>
      </c>
      <c r="AG544" s="4">
        <v>0</v>
      </c>
      <c r="AH544" s="4">
        <v>0</v>
      </c>
      <c r="AI544" s="4">
        <v>0</v>
      </c>
      <c r="AJ544" s="4"/>
      <c r="AK544" s="4"/>
      <c r="AL544" s="4"/>
      <c r="AM544" s="4"/>
      <c r="AN544" s="4"/>
      <c r="AO544" s="4"/>
    </row>
    <row r="545" spans="1:41" hidden="1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41" x14ac:dyDescent="0.3">
      <c r="A546" s="4">
        <v>47</v>
      </c>
      <c r="B546" s="4" t="s">
        <v>43</v>
      </c>
      <c r="C546" s="4" t="s">
        <v>44</v>
      </c>
      <c r="D546" s="4">
        <v>217</v>
      </c>
      <c r="E546" s="4" t="s">
        <v>37</v>
      </c>
      <c r="F546" s="4">
        <v>3</v>
      </c>
      <c r="G546" s="4">
        <v>3</v>
      </c>
      <c r="H546" s="4" t="s">
        <v>51</v>
      </c>
      <c r="I546" s="4">
        <v>1</v>
      </c>
      <c r="J546" s="4">
        <v>746</v>
      </c>
      <c r="K546" s="4">
        <v>4</v>
      </c>
      <c r="L546" s="4" t="s">
        <v>39</v>
      </c>
      <c r="M546" s="4">
        <v>49</v>
      </c>
      <c r="N546" s="4">
        <v>3</v>
      </c>
      <c r="O546" s="4">
        <v>4</v>
      </c>
      <c r="P546" s="4" t="s">
        <v>40</v>
      </c>
      <c r="Q546" s="4">
        <v>3</v>
      </c>
      <c r="R546" s="4" t="s">
        <v>52</v>
      </c>
      <c r="S546" s="4">
        <v>13770</v>
      </c>
      <c r="T546" s="4">
        <v>10225</v>
      </c>
      <c r="U546" s="4">
        <v>9</v>
      </c>
      <c r="V546" s="4" t="s">
        <v>42</v>
      </c>
      <c r="W546" s="4" t="s">
        <v>35</v>
      </c>
      <c r="X546" s="4">
        <v>12</v>
      </c>
      <c r="Y546" s="4">
        <v>3</v>
      </c>
      <c r="Z546" s="4">
        <v>4</v>
      </c>
      <c r="AA546" s="4">
        <v>80</v>
      </c>
      <c r="AB546" s="4">
        <v>2</v>
      </c>
      <c r="AC546" s="4">
        <v>28</v>
      </c>
      <c r="AD546" s="4">
        <v>2</v>
      </c>
      <c r="AE546" s="4">
        <v>2</v>
      </c>
      <c r="AF546" s="4">
        <v>22</v>
      </c>
      <c r="AG546" s="4">
        <v>2</v>
      </c>
      <c r="AH546" s="4">
        <v>11</v>
      </c>
      <c r="AI546" s="4">
        <v>13</v>
      </c>
      <c r="AJ546" s="4"/>
      <c r="AK546" s="4"/>
      <c r="AL546" s="4"/>
      <c r="AM546" s="4"/>
      <c r="AN546" s="4"/>
      <c r="AO546" s="4"/>
    </row>
    <row r="547" spans="1:41" hidden="1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41" hidden="1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41" x14ac:dyDescent="0.3">
      <c r="A549" s="4">
        <v>42</v>
      </c>
      <c r="B549" s="4" t="s">
        <v>35</v>
      </c>
      <c r="C549" s="4" t="s">
        <v>44</v>
      </c>
      <c r="D549" s="4">
        <v>933</v>
      </c>
      <c r="E549" s="4" t="s">
        <v>45</v>
      </c>
      <c r="F549" s="4">
        <v>19</v>
      </c>
      <c r="G549" s="4">
        <v>3</v>
      </c>
      <c r="H549" s="4" t="s">
        <v>51</v>
      </c>
      <c r="I549" s="4">
        <v>1</v>
      </c>
      <c r="J549" s="4">
        <v>752</v>
      </c>
      <c r="K549" s="4">
        <v>3</v>
      </c>
      <c r="L549" s="4" t="s">
        <v>46</v>
      </c>
      <c r="M549" s="4">
        <v>57</v>
      </c>
      <c r="N549" s="4">
        <v>4</v>
      </c>
      <c r="O549" s="4">
        <v>1</v>
      </c>
      <c r="P549" s="4" t="s">
        <v>47</v>
      </c>
      <c r="Q549" s="4">
        <v>3</v>
      </c>
      <c r="R549" s="4" t="s">
        <v>52</v>
      </c>
      <c r="S549" s="4">
        <v>2759</v>
      </c>
      <c r="T549" s="4">
        <v>20366</v>
      </c>
      <c r="U549" s="4">
        <v>6</v>
      </c>
      <c r="V549" s="4" t="s">
        <v>42</v>
      </c>
      <c r="W549" s="4" t="s">
        <v>35</v>
      </c>
      <c r="X549" s="4">
        <v>12</v>
      </c>
      <c r="Y549" s="4">
        <v>3</v>
      </c>
      <c r="Z549" s="4">
        <v>4</v>
      </c>
      <c r="AA549" s="4">
        <v>80</v>
      </c>
      <c r="AB549" s="4">
        <v>0</v>
      </c>
      <c r="AC549" s="4">
        <v>7</v>
      </c>
      <c r="AD549" s="4">
        <v>2</v>
      </c>
      <c r="AE549" s="4">
        <v>3</v>
      </c>
      <c r="AF549" s="4">
        <v>2</v>
      </c>
      <c r="AG549" s="4">
        <v>2</v>
      </c>
      <c r="AH549" s="4">
        <v>2</v>
      </c>
      <c r="AI549" s="4">
        <v>2</v>
      </c>
      <c r="AJ549" s="4"/>
      <c r="AK549" s="4"/>
      <c r="AL549" s="4"/>
      <c r="AM549" s="4"/>
      <c r="AN549" s="4"/>
      <c r="AO549" s="4"/>
    </row>
    <row r="550" spans="1:41" hidden="1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41" hidden="1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41" hidden="1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41" hidden="1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41" hidden="1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41" x14ac:dyDescent="0.3">
      <c r="A555" s="4">
        <v>40</v>
      </c>
      <c r="B555" s="4" t="s">
        <v>43</v>
      </c>
      <c r="C555" s="4" t="s">
        <v>36</v>
      </c>
      <c r="D555" s="4">
        <v>804</v>
      </c>
      <c r="E555" s="4" t="s">
        <v>45</v>
      </c>
      <c r="F555" s="4">
        <v>2</v>
      </c>
      <c r="G555" s="4">
        <v>1</v>
      </c>
      <c r="H555" s="4" t="s">
        <v>51</v>
      </c>
      <c r="I555" s="4">
        <v>1</v>
      </c>
      <c r="J555" s="4">
        <v>763</v>
      </c>
      <c r="K555" s="4">
        <v>4</v>
      </c>
      <c r="L555" s="4" t="s">
        <v>39</v>
      </c>
      <c r="M555" s="4">
        <v>86</v>
      </c>
      <c r="N555" s="4">
        <v>2</v>
      </c>
      <c r="O555" s="4">
        <v>1</v>
      </c>
      <c r="P555" s="4" t="s">
        <v>47</v>
      </c>
      <c r="Q555" s="4">
        <v>4</v>
      </c>
      <c r="R555" s="4" t="s">
        <v>41</v>
      </c>
      <c r="S555" s="4">
        <v>2342</v>
      </c>
      <c r="T555" s="4">
        <v>22929</v>
      </c>
      <c r="U555" s="4">
        <v>0</v>
      </c>
      <c r="V555" s="4" t="s">
        <v>42</v>
      </c>
      <c r="W555" s="4" t="s">
        <v>35</v>
      </c>
      <c r="X555" s="4">
        <v>20</v>
      </c>
      <c r="Y555" s="4">
        <v>4</v>
      </c>
      <c r="Z555" s="4">
        <v>4</v>
      </c>
      <c r="AA555" s="4">
        <v>80</v>
      </c>
      <c r="AB555" s="4">
        <v>0</v>
      </c>
      <c r="AC555" s="4">
        <v>5</v>
      </c>
      <c r="AD555" s="4">
        <v>2</v>
      </c>
      <c r="AE555" s="4">
        <v>2</v>
      </c>
      <c r="AF555" s="4">
        <v>4</v>
      </c>
      <c r="AG555" s="4">
        <v>2</v>
      </c>
      <c r="AH555" s="4">
        <v>2</v>
      </c>
      <c r="AI555" s="4">
        <v>3</v>
      </c>
      <c r="AJ555" s="4"/>
      <c r="AK555" s="4"/>
      <c r="AL555" s="4"/>
      <c r="AM555" s="4"/>
      <c r="AN555" s="4"/>
      <c r="AO555" s="4"/>
    </row>
    <row r="556" spans="1:41" hidden="1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41" hidden="1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41" hidden="1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41" hidden="1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41" hidden="1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41" x14ac:dyDescent="0.3">
      <c r="A561" s="4">
        <v>38</v>
      </c>
      <c r="B561" s="4" t="s">
        <v>43</v>
      </c>
      <c r="C561" s="4" t="s">
        <v>36</v>
      </c>
      <c r="D561" s="4">
        <v>268</v>
      </c>
      <c r="E561" s="4" t="s">
        <v>45</v>
      </c>
      <c r="F561" s="4">
        <v>2</v>
      </c>
      <c r="G561" s="4">
        <v>5</v>
      </c>
      <c r="H561" s="4" t="s">
        <v>51</v>
      </c>
      <c r="I561" s="4">
        <v>1</v>
      </c>
      <c r="J561" s="4">
        <v>773</v>
      </c>
      <c r="K561" s="4">
        <v>4</v>
      </c>
      <c r="L561" s="4" t="s">
        <v>46</v>
      </c>
      <c r="M561" s="4">
        <v>92</v>
      </c>
      <c r="N561" s="4">
        <v>3</v>
      </c>
      <c r="O561" s="4">
        <v>1</v>
      </c>
      <c r="P561" s="4" t="s">
        <v>47</v>
      </c>
      <c r="Q561" s="4">
        <v>3</v>
      </c>
      <c r="R561" s="4" t="s">
        <v>48</v>
      </c>
      <c r="S561" s="4">
        <v>3057</v>
      </c>
      <c r="T561" s="4">
        <v>20471</v>
      </c>
      <c r="U561" s="4">
        <v>6</v>
      </c>
      <c r="V561" s="4" t="s">
        <v>42</v>
      </c>
      <c r="W561" s="4" t="s">
        <v>35</v>
      </c>
      <c r="X561" s="4">
        <v>13</v>
      </c>
      <c r="Y561" s="4">
        <v>3</v>
      </c>
      <c r="Z561" s="4">
        <v>2</v>
      </c>
      <c r="AA561" s="4">
        <v>80</v>
      </c>
      <c r="AB561" s="4">
        <v>1</v>
      </c>
      <c r="AC561" s="4">
        <v>6</v>
      </c>
      <c r="AD561" s="4">
        <v>0</v>
      </c>
      <c r="AE561" s="4">
        <v>1</v>
      </c>
      <c r="AF561" s="4">
        <v>1</v>
      </c>
      <c r="AG561" s="4">
        <v>0</v>
      </c>
      <c r="AH561" s="4">
        <v>0</v>
      </c>
      <c r="AI561" s="4">
        <v>1</v>
      </c>
      <c r="AJ561" s="4"/>
      <c r="AK561" s="4"/>
      <c r="AL561" s="4"/>
      <c r="AM561" s="4"/>
      <c r="AN561" s="4"/>
      <c r="AO561" s="4"/>
    </row>
    <row r="562" spans="1:41" hidden="1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41" hidden="1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41" x14ac:dyDescent="0.3">
      <c r="A564" s="4">
        <v>33</v>
      </c>
      <c r="B564" s="4" t="s">
        <v>35</v>
      </c>
      <c r="C564" s="4" t="s">
        <v>36</v>
      </c>
      <c r="D564" s="4">
        <v>527</v>
      </c>
      <c r="E564" s="4" t="s">
        <v>45</v>
      </c>
      <c r="F564" s="4">
        <v>1</v>
      </c>
      <c r="G564" s="4">
        <v>4</v>
      </c>
      <c r="H564" s="4" t="s">
        <v>49</v>
      </c>
      <c r="I564" s="4">
        <v>1</v>
      </c>
      <c r="J564" s="4">
        <v>780</v>
      </c>
      <c r="K564" s="4">
        <v>4</v>
      </c>
      <c r="L564" s="4" t="s">
        <v>46</v>
      </c>
      <c r="M564" s="4">
        <v>63</v>
      </c>
      <c r="N564" s="4">
        <v>3</v>
      </c>
      <c r="O564" s="4">
        <v>1</v>
      </c>
      <c r="P564" s="4" t="s">
        <v>47</v>
      </c>
      <c r="Q564" s="4">
        <v>4</v>
      </c>
      <c r="R564" s="4" t="s">
        <v>41</v>
      </c>
      <c r="S564" s="4">
        <v>2686</v>
      </c>
      <c r="T564" s="4">
        <v>5207</v>
      </c>
      <c r="U564" s="4">
        <v>1</v>
      </c>
      <c r="V564" s="4" t="s">
        <v>42</v>
      </c>
      <c r="W564" s="4" t="s">
        <v>35</v>
      </c>
      <c r="X564" s="4">
        <v>13</v>
      </c>
      <c r="Y564" s="4">
        <v>3</v>
      </c>
      <c r="Z564" s="4">
        <v>3</v>
      </c>
      <c r="AA564" s="4">
        <v>80</v>
      </c>
      <c r="AB564" s="4">
        <v>0</v>
      </c>
      <c r="AC564" s="4">
        <v>10</v>
      </c>
      <c r="AD564" s="4">
        <v>2</v>
      </c>
      <c r="AE564" s="4">
        <v>2</v>
      </c>
      <c r="AF564" s="4">
        <v>10</v>
      </c>
      <c r="AG564" s="4">
        <v>9</v>
      </c>
      <c r="AH564" s="4">
        <v>7</v>
      </c>
      <c r="AI564" s="4">
        <v>8</v>
      </c>
      <c r="AJ564" s="4"/>
      <c r="AK564" s="4"/>
      <c r="AL564" s="4"/>
      <c r="AM564" s="4"/>
      <c r="AN564" s="4"/>
      <c r="AO564" s="4"/>
    </row>
    <row r="565" spans="1:41" hidden="1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41" hidden="1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41" hidden="1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41" x14ac:dyDescent="0.3">
      <c r="A568" s="4">
        <v>47</v>
      </c>
      <c r="B568" s="4" t="s">
        <v>35</v>
      </c>
      <c r="C568" s="4" t="s">
        <v>44</v>
      </c>
      <c r="D568" s="4">
        <v>719</v>
      </c>
      <c r="E568" s="4" t="s">
        <v>37</v>
      </c>
      <c r="F568" s="4">
        <v>27</v>
      </c>
      <c r="G568" s="4">
        <v>2</v>
      </c>
      <c r="H568" s="4" t="s">
        <v>38</v>
      </c>
      <c r="I568" s="4">
        <v>1</v>
      </c>
      <c r="J568" s="4">
        <v>785</v>
      </c>
      <c r="K568" s="4">
        <v>2</v>
      </c>
      <c r="L568" s="4" t="s">
        <v>39</v>
      </c>
      <c r="M568" s="4">
        <v>77</v>
      </c>
      <c r="N568" s="4">
        <v>4</v>
      </c>
      <c r="O568" s="4">
        <v>2</v>
      </c>
      <c r="P568" s="4" t="s">
        <v>40</v>
      </c>
      <c r="Q568" s="4">
        <v>3</v>
      </c>
      <c r="R568" s="4" t="s">
        <v>41</v>
      </c>
      <c r="S568" s="4">
        <v>6397</v>
      </c>
      <c r="T568" s="4">
        <v>10339</v>
      </c>
      <c r="U568" s="4">
        <v>4</v>
      </c>
      <c r="V568" s="4" t="s">
        <v>42</v>
      </c>
      <c r="W568" s="4" t="s">
        <v>35</v>
      </c>
      <c r="X568" s="4">
        <v>12</v>
      </c>
      <c r="Y568" s="4">
        <v>3</v>
      </c>
      <c r="Z568" s="4">
        <v>4</v>
      </c>
      <c r="AA568" s="4">
        <v>80</v>
      </c>
      <c r="AB568" s="4">
        <v>0</v>
      </c>
      <c r="AC568" s="4">
        <v>8</v>
      </c>
      <c r="AD568" s="4">
        <v>2</v>
      </c>
      <c r="AE568" s="4">
        <v>3</v>
      </c>
      <c r="AF568" s="4">
        <v>5</v>
      </c>
      <c r="AG568" s="4">
        <v>4</v>
      </c>
      <c r="AH568" s="4">
        <v>1</v>
      </c>
      <c r="AI568" s="4">
        <v>3</v>
      </c>
      <c r="AJ568" s="4"/>
      <c r="AK568" s="4"/>
      <c r="AL568" s="4"/>
      <c r="AM568" s="4"/>
      <c r="AN568" s="4"/>
      <c r="AO568" s="4"/>
    </row>
    <row r="569" spans="1:41" hidden="1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41" x14ac:dyDescent="0.3">
      <c r="A570" s="4">
        <v>55</v>
      </c>
      <c r="B570" s="4" t="s">
        <v>35</v>
      </c>
      <c r="C570" s="4" t="s">
        <v>36</v>
      </c>
      <c r="D570" s="4">
        <v>725</v>
      </c>
      <c r="E570" s="4" t="s">
        <v>45</v>
      </c>
      <c r="F570" s="4">
        <v>2</v>
      </c>
      <c r="G570" s="4">
        <v>3</v>
      </c>
      <c r="H570" s="4" t="s">
        <v>51</v>
      </c>
      <c r="I570" s="4">
        <v>1</v>
      </c>
      <c r="J570" s="4">
        <v>787</v>
      </c>
      <c r="K570" s="4">
        <v>4</v>
      </c>
      <c r="L570" s="4" t="s">
        <v>46</v>
      </c>
      <c r="M570" s="4">
        <v>78</v>
      </c>
      <c r="N570" s="4">
        <v>3</v>
      </c>
      <c r="O570" s="4">
        <v>5</v>
      </c>
      <c r="P570" s="4" t="s">
        <v>56</v>
      </c>
      <c r="Q570" s="4">
        <v>1</v>
      </c>
      <c r="R570" s="4" t="s">
        <v>48</v>
      </c>
      <c r="S570" s="4">
        <v>19859</v>
      </c>
      <c r="T570" s="4">
        <v>21199</v>
      </c>
      <c r="U570" s="4">
        <v>5</v>
      </c>
      <c r="V570" s="4" t="s">
        <v>42</v>
      </c>
      <c r="W570" s="4" t="s">
        <v>35</v>
      </c>
      <c r="X570" s="4">
        <v>13</v>
      </c>
      <c r="Y570" s="4">
        <v>3</v>
      </c>
      <c r="Z570" s="4">
        <v>4</v>
      </c>
      <c r="AA570" s="4">
        <v>80</v>
      </c>
      <c r="AB570" s="4">
        <v>1</v>
      </c>
      <c r="AC570" s="4">
        <v>24</v>
      </c>
      <c r="AD570" s="4">
        <v>2</v>
      </c>
      <c r="AE570" s="4">
        <v>3</v>
      </c>
      <c r="AF570" s="4">
        <v>5</v>
      </c>
      <c r="AG570" s="4">
        <v>2</v>
      </c>
      <c r="AH570" s="4">
        <v>1</v>
      </c>
      <c r="AI570" s="4">
        <v>4</v>
      </c>
      <c r="AJ570" s="4"/>
      <c r="AK570" s="4"/>
      <c r="AL570" s="4"/>
      <c r="AM570" s="4"/>
      <c r="AN570" s="4"/>
      <c r="AO570" s="4"/>
    </row>
    <row r="571" spans="1:41" hidden="1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41" hidden="1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41" hidden="1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41" hidden="1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41" hidden="1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41" hidden="1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41" x14ac:dyDescent="0.3">
      <c r="A577" s="4">
        <v>54</v>
      </c>
      <c r="B577" s="4" t="s">
        <v>43</v>
      </c>
      <c r="C577" s="4" t="s">
        <v>36</v>
      </c>
      <c r="D577" s="4">
        <v>376</v>
      </c>
      <c r="E577" s="4" t="s">
        <v>45</v>
      </c>
      <c r="F577" s="4">
        <v>19</v>
      </c>
      <c r="G577" s="4">
        <v>4</v>
      </c>
      <c r="H577" s="4" t="s">
        <v>51</v>
      </c>
      <c r="I577" s="4">
        <v>1</v>
      </c>
      <c r="J577" s="4">
        <v>799</v>
      </c>
      <c r="K577" s="4">
        <v>4</v>
      </c>
      <c r="L577" s="4" t="s">
        <v>39</v>
      </c>
      <c r="M577" s="4">
        <v>95</v>
      </c>
      <c r="N577" s="4">
        <v>3</v>
      </c>
      <c r="O577" s="4">
        <v>2</v>
      </c>
      <c r="P577" s="4" t="s">
        <v>53</v>
      </c>
      <c r="Q577" s="4">
        <v>1</v>
      </c>
      <c r="R577" s="4" t="s">
        <v>52</v>
      </c>
      <c r="S577" s="4">
        <v>5485</v>
      </c>
      <c r="T577" s="4">
        <v>22670</v>
      </c>
      <c r="U577" s="4">
        <v>9</v>
      </c>
      <c r="V577" s="4" t="s">
        <v>42</v>
      </c>
      <c r="W577" s="4" t="s">
        <v>35</v>
      </c>
      <c r="X577" s="4">
        <v>11</v>
      </c>
      <c r="Y577" s="4">
        <v>3</v>
      </c>
      <c r="Z577" s="4">
        <v>2</v>
      </c>
      <c r="AA577" s="4">
        <v>80</v>
      </c>
      <c r="AB577" s="4">
        <v>2</v>
      </c>
      <c r="AC577" s="4">
        <v>9</v>
      </c>
      <c r="AD577" s="4">
        <v>4</v>
      </c>
      <c r="AE577" s="4">
        <v>3</v>
      </c>
      <c r="AF577" s="4">
        <v>5</v>
      </c>
      <c r="AG577" s="4">
        <v>3</v>
      </c>
      <c r="AH577" s="4">
        <v>1</v>
      </c>
      <c r="AI577" s="4">
        <v>4</v>
      </c>
      <c r="AJ577" s="4"/>
      <c r="AK577" s="4"/>
      <c r="AL577" s="4"/>
      <c r="AM577" s="4"/>
      <c r="AN577" s="4"/>
      <c r="AO577" s="4"/>
    </row>
    <row r="578" spans="1:41" hidden="1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41" x14ac:dyDescent="0.3">
      <c r="A579" s="4">
        <v>37</v>
      </c>
      <c r="B579" s="4" t="s">
        <v>43</v>
      </c>
      <c r="C579" s="4" t="s">
        <v>36</v>
      </c>
      <c r="D579" s="4">
        <v>571</v>
      </c>
      <c r="E579" s="4" t="s">
        <v>45</v>
      </c>
      <c r="F579" s="4">
        <v>10</v>
      </c>
      <c r="G579" s="4">
        <v>1</v>
      </c>
      <c r="H579" s="4" t="s">
        <v>38</v>
      </c>
      <c r="I579" s="4">
        <v>1</v>
      </c>
      <c r="J579" s="4">
        <v>802</v>
      </c>
      <c r="K579" s="4">
        <v>4</v>
      </c>
      <c r="L579" s="4" t="s">
        <v>39</v>
      </c>
      <c r="M579" s="4">
        <v>82</v>
      </c>
      <c r="N579" s="4">
        <v>3</v>
      </c>
      <c r="O579" s="4">
        <v>1</v>
      </c>
      <c r="P579" s="4" t="s">
        <v>47</v>
      </c>
      <c r="Q579" s="4">
        <v>1</v>
      </c>
      <c r="R579" s="4" t="s">
        <v>52</v>
      </c>
      <c r="S579" s="4">
        <v>2782</v>
      </c>
      <c r="T579" s="4">
        <v>19905</v>
      </c>
      <c r="U579" s="4">
        <v>0</v>
      </c>
      <c r="V579" s="4" t="s">
        <v>42</v>
      </c>
      <c r="W579" s="4" t="s">
        <v>35</v>
      </c>
      <c r="X579" s="4">
        <v>13</v>
      </c>
      <c r="Y579" s="4">
        <v>3</v>
      </c>
      <c r="Z579" s="4">
        <v>2</v>
      </c>
      <c r="AA579" s="4">
        <v>80</v>
      </c>
      <c r="AB579" s="4">
        <v>2</v>
      </c>
      <c r="AC579" s="4">
        <v>6</v>
      </c>
      <c r="AD579" s="4">
        <v>3</v>
      </c>
      <c r="AE579" s="4">
        <v>2</v>
      </c>
      <c r="AF579" s="4">
        <v>5</v>
      </c>
      <c r="AG579" s="4">
        <v>3</v>
      </c>
      <c r="AH579" s="4">
        <v>4</v>
      </c>
      <c r="AI579" s="4">
        <v>3</v>
      </c>
      <c r="AJ579" s="4"/>
      <c r="AK579" s="4"/>
      <c r="AL579" s="4"/>
      <c r="AM579" s="4"/>
      <c r="AN579" s="4"/>
      <c r="AO579" s="4"/>
    </row>
    <row r="580" spans="1:41" x14ac:dyDescent="0.3">
      <c r="A580" s="4">
        <v>38</v>
      </c>
      <c r="B580" s="4" t="s">
        <v>43</v>
      </c>
      <c r="C580" s="4" t="s">
        <v>44</v>
      </c>
      <c r="D580" s="4">
        <v>240</v>
      </c>
      <c r="E580" s="4" t="s">
        <v>45</v>
      </c>
      <c r="F580" s="4">
        <v>2</v>
      </c>
      <c r="G580" s="4">
        <v>4</v>
      </c>
      <c r="H580" s="4" t="s">
        <v>38</v>
      </c>
      <c r="I580" s="4">
        <v>1</v>
      </c>
      <c r="J580" s="4">
        <v>803</v>
      </c>
      <c r="K580" s="4">
        <v>1</v>
      </c>
      <c r="L580" s="4" t="s">
        <v>39</v>
      </c>
      <c r="M580" s="4">
        <v>75</v>
      </c>
      <c r="N580" s="4">
        <v>4</v>
      </c>
      <c r="O580" s="4">
        <v>2</v>
      </c>
      <c r="P580" s="4" t="s">
        <v>53</v>
      </c>
      <c r="Q580" s="4">
        <v>1</v>
      </c>
      <c r="R580" s="4" t="s">
        <v>41</v>
      </c>
      <c r="S580" s="4">
        <v>5980</v>
      </c>
      <c r="T580" s="4">
        <v>26085</v>
      </c>
      <c r="U580" s="4">
        <v>6</v>
      </c>
      <c r="V580" s="4" t="s">
        <v>42</v>
      </c>
      <c r="W580" s="4" t="s">
        <v>35</v>
      </c>
      <c r="X580" s="4">
        <v>12</v>
      </c>
      <c r="Y580" s="4">
        <v>3</v>
      </c>
      <c r="Z580" s="4">
        <v>4</v>
      </c>
      <c r="AA580" s="4">
        <v>80</v>
      </c>
      <c r="AB580" s="4">
        <v>0</v>
      </c>
      <c r="AC580" s="4">
        <v>17</v>
      </c>
      <c r="AD580" s="4">
        <v>2</v>
      </c>
      <c r="AE580" s="4">
        <v>3</v>
      </c>
      <c r="AF580" s="4">
        <v>15</v>
      </c>
      <c r="AG580" s="4">
        <v>7</v>
      </c>
      <c r="AH580" s="4">
        <v>4</v>
      </c>
      <c r="AI580" s="4">
        <v>12</v>
      </c>
      <c r="AJ580" s="4"/>
      <c r="AK580" s="4"/>
      <c r="AL580" s="4"/>
      <c r="AM580" s="4"/>
      <c r="AN580" s="4"/>
      <c r="AO580" s="4"/>
    </row>
    <row r="581" spans="1:41" hidden="1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41" hidden="1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41" hidden="1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41" hidden="1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41" hidden="1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41" hidden="1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41" x14ac:dyDescent="0.3">
      <c r="A587" s="4">
        <v>23</v>
      </c>
      <c r="B587" s="4" t="s">
        <v>35</v>
      </c>
      <c r="C587" s="4" t="s">
        <v>36</v>
      </c>
      <c r="D587" s="4">
        <v>1243</v>
      </c>
      <c r="E587" s="4" t="s">
        <v>45</v>
      </c>
      <c r="F587" s="4">
        <v>6</v>
      </c>
      <c r="G587" s="4">
        <v>3</v>
      </c>
      <c r="H587" s="4" t="s">
        <v>38</v>
      </c>
      <c r="I587" s="4">
        <v>1</v>
      </c>
      <c r="J587" s="4">
        <v>811</v>
      </c>
      <c r="K587" s="4">
        <v>3</v>
      </c>
      <c r="L587" s="4" t="s">
        <v>46</v>
      </c>
      <c r="M587" s="4">
        <v>63</v>
      </c>
      <c r="N587" s="4">
        <v>4</v>
      </c>
      <c r="O587" s="4">
        <v>1</v>
      </c>
      <c r="P587" s="4" t="s">
        <v>50</v>
      </c>
      <c r="Q587" s="4">
        <v>1</v>
      </c>
      <c r="R587" s="4" t="s">
        <v>48</v>
      </c>
      <c r="S587" s="4">
        <v>1601</v>
      </c>
      <c r="T587" s="4">
        <v>3445</v>
      </c>
      <c r="U587" s="4">
        <v>1</v>
      </c>
      <c r="V587" s="4" t="s">
        <v>42</v>
      </c>
      <c r="W587" s="4" t="s">
        <v>35</v>
      </c>
      <c r="X587" s="4">
        <v>21</v>
      </c>
      <c r="Y587" s="4">
        <v>4</v>
      </c>
      <c r="Z587" s="4">
        <v>3</v>
      </c>
      <c r="AA587" s="4">
        <v>80</v>
      </c>
      <c r="AB587" s="4">
        <v>2</v>
      </c>
      <c r="AC587" s="4">
        <v>1</v>
      </c>
      <c r="AD587" s="4">
        <v>2</v>
      </c>
      <c r="AE587" s="4">
        <v>3</v>
      </c>
      <c r="AF587" s="4">
        <v>0</v>
      </c>
      <c r="AG587" s="4">
        <v>0</v>
      </c>
      <c r="AH587" s="4">
        <v>0</v>
      </c>
      <c r="AI587" s="4">
        <v>0</v>
      </c>
      <c r="AJ587" s="4"/>
      <c r="AK587" s="4"/>
      <c r="AL587" s="4"/>
      <c r="AM587" s="4"/>
      <c r="AN587" s="4"/>
      <c r="AO587" s="4"/>
    </row>
    <row r="588" spans="1:41" hidden="1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41" hidden="1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41" hidden="1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41" x14ac:dyDescent="0.3">
      <c r="A591" s="4">
        <v>29</v>
      </c>
      <c r="B591" s="4" t="s">
        <v>35</v>
      </c>
      <c r="C591" s="4" t="s">
        <v>36</v>
      </c>
      <c r="D591" s="4">
        <v>805</v>
      </c>
      <c r="E591" s="4" t="s">
        <v>45</v>
      </c>
      <c r="F591" s="4">
        <v>1</v>
      </c>
      <c r="G591" s="4">
        <v>2</v>
      </c>
      <c r="H591" s="4" t="s">
        <v>38</v>
      </c>
      <c r="I591" s="4">
        <v>1</v>
      </c>
      <c r="J591" s="4">
        <v>816</v>
      </c>
      <c r="K591" s="4">
        <v>2</v>
      </c>
      <c r="L591" s="4" t="s">
        <v>39</v>
      </c>
      <c r="M591" s="4">
        <v>36</v>
      </c>
      <c r="N591" s="4">
        <v>2</v>
      </c>
      <c r="O591" s="4">
        <v>1</v>
      </c>
      <c r="P591" s="4" t="s">
        <v>50</v>
      </c>
      <c r="Q591" s="4">
        <v>1</v>
      </c>
      <c r="R591" s="4" t="s">
        <v>48</v>
      </c>
      <c r="S591" s="4">
        <v>2319</v>
      </c>
      <c r="T591" s="4">
        <v>6689</v>
      </c>
      <c r="U591" s="4">
        <v>1</v>
      </c>
      <c r="V591" s="4" t="s">
        <v>42</v>
      </c>
      <c r="W591" s="4" t="s">
        <v>35</v>
      </c>
      <c r="X591" s="4">
        <v>11</v>
      </c>
      <c r="Y591" s="4">
        <v>3</v>
      </c>
      <c r="Z591" s="4">
        <v>4</v>
      </c>
      <c r="AA591" s="4">
        <v>80</v>
      </c>
      <c r="AB591" s="4">
        <v>1</v>
      </c>
      <c r="AC591" s="4">
        <v>1</v>
      </c>
      <c r="AD591" s="4">
        <v>1</v>
      </c>
      <c r="AE591" s="4">
        <v>3</v>
      </c>
      <c r="AF591" s="4">
        <v>1</v>
      </c>
      <c r="AG591" s="4">
        <v>0</v>
      </c>
      <c r="AH591" s="4">
        <v>0</v>
      </c>
      <c r="AI591" s="4">
        <v>0</v>
      </c>
      <c r="AJ591" s="4"/>
      <c r="AK591" s="4"/>
      <c r="AL591" s="4"/>
      <c r="AM591" s="4"/>
      <c r="AN591" s="4"/>
      <c r="AO591" s="4"/>
    </row>
    <row r="592" spans="1:41" hidden="1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41" hidden="1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41" x14ac:dyDescent="0.3">
      <c r="A594" s="4">
        <v>47</v>
      </c>
      <c r="B594" s="4" t="s">
        <v>43</v>
      </c>
      <c r="C594" s="4" t="s">
        <v>36</v>
      </c>
      <c r="D594" s="4">
        <v>202</v>
      </c>
      <c r="E594" s="4" t="s">
        <v>45</v>
      </c>
      <c r="F594" s="4">
        <v>2</v>
      </c>
      <c r="G594" s="4">
        <v>2</v>
      </c>
      <c r="H594" s="4" t="s">
        <v>49</v>
      </c>
      <c r="I594" s="4">
        <v>1</v>
      </c>
      <c r="J594" s="4">
        <v>820</v>
      </c>
      <c r="K594" s="4">
        <v>3</v>
      </c>
      <c r="L594" s="4" t="s">
        <v>39</v>
      </c>
      <c r="M594" s="4">
        <v>33</v>
      </c>
      <c r="N594" s="4">
        <v>3</v>
      </c>
      <c r="O594" s="4">
        <v>4</v>
      </c>
      <c r="P594" s="4" t="s">
        <v>56</v>
      </c>
      <c r="Q594" s="4">
        <v>4</v>
      </c>
      <c r="R594" s="4" t="s">
        <v>48</v>
      </c>
      <c r="S594" s="4">
        <v>16752</v>
      </c>
      <c r="T594" s="4">
        <v>12982</v>
      </c>
      <c r="U594" s="4">
        <v>1</v>
      </c>
      <c r="V594" s="4" t="s">
        <v>42</v>
      </c>
      <c r="W594" s="4" t="s">
        <v>35</v>
      </c>
      <c r="X594" s="4">
        <v>11</v>
      </c>
      <c r="Y594" s="4">
        <v>3</v>
      </c>
      <c r="Z594" s="4">
        <v>3</v>
      </c>
      <c r="AA594" s="4">
        <v>80</v>
      </c>
      <c r="AB594" s="4">
        <v>1</v>
      </c>
      <c r="AC594" s="4">
        <v>26</v>
      </c>
      <c r="AD594" s="4">
        <v>3</v>
      </c>
      <c r="AE594" s="4">
        <v>2</v>
      </c>
      <c r="AF594" s="4">
        <v>26</v>
      </c>
      <c r="AG594" s="4">
        <v>14</v>
      </c>
      <c r="AH594" s="4">
        <v>3</v>
      </c>
      <c r="AI594" s="4">
        <v>0</v>
      </c>
      <c r="AJ594" s="4"/>
      <c r="AK594" s="4"/>
      <c r="AL594" s="4"/>
      <c r="AM594" s="4"/>
      <c r="AN594" s="4"/>
      <c r="AO594" s="4"/>
    </row>
    <row r="595" spans="1:41" hidden="1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41" hidden="1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41" x14ac:dyDescent="0.3">
      <c r="A597" s="4">
        <v>58</v>
      </c>
      <c r="B597" s="4" t="s">
        <v>35</v>
      </c>
      <c r="C597" s="4" t="s">
        <v>36</v>
      </c>
      <c r="D597" s="4">
        <v>286</v>
      </c>
      <c r="E597" s="4" t="s">
        <v>45</v>
      </c>
      <c r="F597" s="4">
        <v>2</v>
      </c>
      <c r="G597" s="4">
        <v>4</v>
      </c>
      <c r="H597" s="4" t="s">
        <v>38</v>
      </c>
      <c r="I597" s="4">
        <v>1</v>
      </c>
      <c r="J597" s="4">
        <v>825</v>
      </c>
      <c r="K597" s="4">
        <v>4</v>
      </c>
      <c r="L597" s="4" t="s">
        <v>46</v>
      </c>
      <c r="M597" s="4">
        <v>31</v>
      </c>
      <c r="N597" s="4">
        <v>3</v>
      </c>
      <c r="O597" s="4">
        <v>5</v>
      </c>
      <c r="P597" s="4" t="s">
        <v>58</v>
      </c>
      <c r="Q597" s="4">
        <v>2</v>
      </c>
      <c r="R597" s="4" t="s">
        <v>41</v>
      </c>
      <c r="S597" s="4">
        <v>19246</v>
      </c>
      <c r="T597" s="4">
        <v>25761</v>
      </c>
      <c r="U597" s="4">
        <v>7</v>
      </c>
      <c r="V597" s="4" t="s">
        <v>42</v>
      </c>
      <c r="W597" s="4" t="s">
        <v>35</v>
      </c>
      <c r="X597" s="4">
        <v>12</v>
      </c>
      <c r="Y597" s="4">
        <v>3</v>
      </c>
      <c r="Z597" s="4">
        <v>4</v>
      </c>
      <c r="AA597" s="4">
        <v>80</v>
      </c>
      <c r="AB597" s="4">
        <v>0</v>
      </c>
      <c r="AC597" s="4">
        <v>40</v>
      </c>
      <c r="AD597" s="4">
        <v>2</v>
      </c>
      <c r="AE597" s="4">
        <v>3</v>
      </c>
      <c r="AF597" s="4">
        <v>31</v>
      </c>
      <c r="AG597" s="4">
        <v>15</v>
      </c>
      <c r="AH597" s="4">
        <v>13</v>
      </c>
      <c r="AI597" s="4">
        <v>8</v>
      </c>
      <c r="AJ597" s="4"/>
      <c r="AK597" s="4"/>
      <c r="AL597" s="4"/>
      <c r="AM597" s="4"/>
      <c r="AN597" s="4"/>
      <c r="AO597" s="4"/>
    </row>
    <row r="598" spans="1:41" hidden="1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41" x14ac:dyDescent="0.3">
      <c r="A599" s="4">
        <v>42</v>
      </c>
      <c r="B599" s="4" t="s">
        <v>43</v>
      </c>
      <c r="C599" s="4" t="s">
        <v>36</v>
      </c>
      <c r="D599" s="4">
        <v>932</v>
      </c>
      <c r="E599" s="4" t="s">
        <v>45</v>
      </c>
      <c r="F599" s="4">
        <v>1</v>
      </c>
      <c r="G599" s="4">
        <v>2</v>
      </c>
      <c r="H599" s="4" t="s">
        <v>38</v>
      </c>
      <c r="I599" s="4">
        <v>1</v>
      </c>
      <c r="J599" s="4">
        <v>827</v>
      </c>
      <c r="K599" s="4">
        <v>4</v>
      </c>
      <c r="L599" s="4" t="s">
        <v>39</v>
      </c>
      <c r="M599" s="4">
        <v>43</v>
      </c>
      <c r="N599" s="4">
        <v>2</v>
      </c>
      <c r="O599" s="4">
        <v>2</v>
      </c>
      <c r="P599" s="4" t="s">
        <v>53</v>
      </c>
      <c r="Q599" s="4">
        <v>4</v>
      </c>
      <c r="R599" s="4" t="s">
        <v>48</v>
      </c>
      <c r="S599" s="4">
        <v>6062</v>
      </c>
      <c r="T599" s="4">
        <v>4051</v>
      </c>
      <c r="U599" s="4">
        <v>9</v>
      </c>
      <c r="V599" s="4" t="s">
        <v>42</v>
      </c>
      <c r="W599" s="4" t="s">
        <v>35</v>
      </c>
      <c r="X599" s="4">
        <v>13</v>
      </c>
      <c r="Y599" s="4">
        <v>3</v>
      </c>
      <c r="Z599" s="4">
        <v>4</v>
      </c>
      <c r="AA599" s="4">
        <v>80</v>
      </c>
      <c r="AB599" s="4">
        <v>1</v>
      </c>
      <c r="AC599" s="4">
        <v>8</v>
      </c>
      <c r="AD599" s="4">
        <v>4</v>
      </c>
      <c r="AE599" s="4">
        <v>3</v>
      </c>
      <c r="AF599" s="4">
        <v>4</v>
      </c>
      <c r="AG599" s="4">
        <v>3</v>
      </c>
      <c r="AH599" s="4">
        <v>0</v>
      </c>
      <c r="AI599" s="4">
        <v>2</v>
      </c>
      <c r="AJ599" s="4"/>
      <c r="AK599" s="4"/>
      <c r="AL599" s="4"/>
      <c r="AM599" s="4"/>
      <c r="AN599" s="4"/>
      <c r="AO599" s="4"/>
    </row>
    <row r="600" spans="1:41" hidden="1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41" hidden="1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41" hidden="1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41" hidden="1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41" x14ac:dyDescent="0.3">
      <c r="A604" s="4">
        <v>30</v>
      </c>
      <c r="B604" s="4" t="s">
        <v>43</v>
      </c>
      <c r="C604" s="4" t="s">
        <v>36</v>
      </c>
      <c r="D604" s="4">
        <v>946</v>
      </c>
      <c r="E604" s="4" t="s">
        <v>45</v>
      </c>
      <c r="F604" s="4">
        <v>2</v>
      </c>
      <c r="G604" s="4">
        <v>3</v>
      </c>
      <c r="H604" s="4" t="s">
        <v>51</v>
      </c>
      <c r="I604" s="4">
        <v>1</v>
      </c>
      <c r="J604" s="4">
        <v>833</v>
      </c>
      <c r="K604" s="4">
        <v>3</v>
      </c>
      <c r="L604" s="4" t="s">
        <v>39</v>
      </c>
      <c r="M604" s="4">
        <v>52</v>
      </c>
      <c r="N604" s="4">
        <v>2</v>
      </c>
      <c r="O604" s="4">
        <v>2</v>
      </c>
      <c r="P604" s="4" t="s">
        <v>53</v>
      </c>
      <c r="Q604" s="4">
        <v>4</v>
      </c>
      <c r="R604" s="4" t="s">
        <v>41</v>
      </c>
      <c r="S604" s="4">
        <v>6877</v>
      </c>
      <c r="T604" s="4">
        <v>20234</v>
      </c>
      <c r="U604" s="4">
        <v>5</v>
      </c>
      <c r="V604" s="4" t="s">
        <v>42</v>
      </c>
      <c r="W604" s="4" t="s">
        <v>35</v>
      </c>
      <c r="X604" s="4">
        <v>24</v>
      </c>
      <c r="Y604" s="4">
        <v>4</v>
      </c>
      <c r="Z604" s="4">
        <v>2</v>
      </c>
      <c r="AA604" s="4">
        <v>80</v>
      </c>
      <c r="AB604" s="4">
        <v>0</v>
      </c>
      <c r="AC604" s="4">
        <v>12</v>
      </c>
      <c r="AD604" s="4">
        <v>4</v>
      </c>
      <c r="AE604" s="4">
        <v>2</v>
      </c>
      <c r="AF604" s="4">
        <v>0</v>
      </c>
      <c r="AG604" s="4">
        <v>0</v>
      </c>
      <c r="AH604" s="4">
        <v>0</v>
      </c>
      <c r="AI604" s="4">
        <v>0</v>
      </c>
      <c r="AJ604" s="4"/>
      <c r="AK604" s="4"/>
      <c r="AL604" s="4"/>
      <c r="AM604" s="4"/>
      <c r="AN604" s="4"/>
      <c r="AO604" s="4"/>
    </row>
    <row r="605" spans="1:41" hidden="1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41" hidden="1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41" hidden="1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41" hidden="1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41" hidden="1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41" hidden="1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41" hidden="1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41" x14ac:dyDescent="0.3">
      <c r="A612" s="4">
        <v>27</v>
      </c>
      <c r="B612" s="4" t="s">
        <v>43</v>
      </c>
      <c r="C612" s="4" t="s">
        <v>36</v>
      </c>
      <c r="D612" s="4">
        <v>269</v>
      </c>
      <c r="E612" s="4" t="s">
        <v>45</v>
      </c>
      <c r="F612" s="4">
        <v>5</v>
      </c>
      <c r="G612" s="4">
        <v>1</v>
      </c>
      <c r="H612" s="4" t="s">
        <v>60</v>
      </c>
      <c r="I612" s="4">
        <v>1</v>
      </c>
      <c r="J612" s="4">
        <v>844</v>
      </c>
      <c r="K612" s="4">
        <v>3</v>
      </c>
      <c r="L612" s="4" t="s">
        <v>46</v>
      </c>
      <c r="M612" s="4">
        <v>42</v>
      </c>
      <c r="N612" s="4">
        <v>2</v>
      </c>
      <c r="O612" s="4">
        <v>3</v>
      </c>
      <c r="P612" s="4" t="s">
        <v>58</v>
      </c>
      <c r="Q612" s="4">
        <v>4</v>
      </c>
      <c r="R612" s="4" t="s">
        <v>52</v>
      </c>
      <c r="S612" s="4">
        <v>12808</v>
      </c>
      <c r="T612" s="4">
        <v>8842</v>
      </c>
      <c r="U612" s="4">
        <v>1</v>
      </c>
      <c r="V612" s="4" t="s">
        <v>42</v>
      </c>
      <c r="W612" s="4" t="s">
        <v>35</v>
      </c>
      <c r="X612" s="4">
        <v>16</v>
      </c>
      <c r="Y612" s="4">
        <v>3</v>
      </c>
      <c r="Z612" s="4">
        <v>2</v>
      </c>
      <c r="AA612" s="4">
        <v>80</v>
      </c>
      <c r="AB612" s="4">
        <v>1</v>
      </c>
      <c r="AC612" s="4">
        <v>9</v>
      </c>
      <c r="AD612" s="4">
        <v>3</v>
      </c>
      <c r="AE612" s="4">
        <v>3</v>
      </c>
      <c r="AF612" s="4">
        <v>9</v>
      </c>
      <c r="AG612" s="4">
        <v>8</v>
      </c>
      <c r="AH612" s="4">
        <v>0</v>
      </c>
      <c r="AI612" s="4">
        <v>8</v>
      </c>
      <c r="AJ612" s="4"/>
      <c r="AK612" s="4"/>
      <c r="AL612" s="4"/>
      <c r="AM612" s="4"/>
      <c r="AN612" s="4"/>
      <c r="AO612" s="4"/>
    </row>
    <row r="613" spans="1:41" hidden="1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41" x14ac:dyDescent="0.3">
      <c r="A614" s="4">
        <v>28</v>
      </c>
      <c r="B614" s="4" t="s">
        <v>43</v>
      </c>
      <c r="C614" s="4" t="s">
        <v>36</v>
      </c>
      <c r="D614" s="4">
        <v>760</v>
      </c>
      <c r="E614" s="4" t="s">
        <v>37</v>
      </c>
      <c r="F614" s="4">
        <v>2</v>
      </c>
      <c r="G614" s="4">
        <v>4</v>
      </c>
      <c r="H614" s="4" t="s">
        <v>59</v>
      </c>
      <c r="I614" s="4">
        <v>1</v>
      </c>
      <c r="J614" s="4">
        <v>846</v>
      </c>
      <c r="K614" s="4">
        <v>2</v>
      </c>
      <c r="L614" s="4" t="s">
        <v>39</v>
      </c>
      <c r="M614" s="4">
        <v>81</v>
      </c>
      <c r="N614" s="4">
        <v>3</v>
      </c>
      <c r="O614" s="4">
        <v>2</v>
      </c>
      <c r="P614" s="4" t="s">
        <v>40</v>
      </c>
      <c r="Q614" s="4">
        <v>2</v>
      </c>
      <c r="R614" s="4" t="s">
        <v>48</v>
      </c>
      <c r="S614" s="4">
        <v>4779</v>
      </c>
      <c r="T614" s="4">
        <v>3698</v>
      </c>
      <c r="U614" s="4">
        <v>1</v>
      </c>
      <c r="V614" s="4" t="s">
        <v>42</v>
      </c>
      <c r="W614" s="4" t="s">
        <v>35</v>
      </c>
      <c r="X614" s="4">
        <v>20</v>
      </c>
      <c r="Y614" s="4">
        <v>4</v>
      </c>
      <c r="Z614" s="4">
        <v>1</v>
      </c>
      <c r="AA614" s="4">
        <v>80</v>
      </c>
      <c r="AB614" s="4">
        <v>0</v>
      </c>
      <c r="AC614" s="4">
        <v>8</v>
      </c>
      <c r="AD614" s="4">
        <v>2</v>
      </c>
      <c r="AE614" s="4">
        <v>3</v>
      </c>
      <c r="AF614" s="4">
        <v>8</v>
      </c>
      <c r="AG614" s="4">
        <v>7</v>
      </c>
      <c r="AH614" s="4">
        <v>7</v>
      </c>
      <c r="AI614" s="4">
        <v>5</v>
      </c>
      <c r="AJ614" s="4"/>
      <c r="AK614" s="4"/>
      <c r="AL614" s="4"/>
      <c r="AM614" s="4"/>
      <c r="AN614" s="4"/>
      <c r="AO614" s="4"/>
    </row>
    <row r="615" spans="1:41" hidden="1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41" x14ac:dyDescent="0.3">
      <c r="A616" s="4">
        <v>26</v>
      </c>
      <c r="B616" s="4" t="s">
        <v>35</v>
      </c>
      <c r="C616" s="4" t="s">
        <v>44</v>
      </c>
      <c r="D616" s="4">
        <v>887</v>
      </c>
      <c r="E616" s="4" t="s">
        <v>45</v>
      </c>
      <c r="F616" s="4">
        <v>5</v>
      </c>
      <c r="G616" s="4">
        <v>2</v>
      </c>
      <c r="H616" s="4" t="s">
        <v>51</v>
      </c>
      <c r="I616" s="4">
        <v>1</v>
      </c>
      <c r="J616" s="4">
        <v>848</v>
      </c>
      <c r="K616" s="4">
        <v>3</v>
      </c>
      <c r="L616" s="4" t="s">
        <v>39</v>
      </c>
      <c r="M616" s="4">
        <v>88</v>
      </c>
      <c r="N616" s="4">
        <v>2</v>
      </c>
      <c r="O616" s="4">
        <v>1</v>
      </c>
      <c r="P616" s="4" t="s">
        <v>47</v>
      </c>
      <c r="Q616" s="4">
        <v>3</v>
      </c>
      <c r="R616" s="4" t="s">
        <v>48</v>
      </c>
      <c r="S616" s="4">
        <v>2366</v>
      </c>
      <c r="T616" s="4">
        <v>20898</v>
      </c>
      <c r="U616" s="4">
        <v>1</v>
      </c>
      <c r="V616" s="4" t="s">
        <v>42</v>
      </c>
      <c r="W616" s="4" t="s">
        <v>35</v>
      </c>
      <c r="X616" s="4">
        <v>14</v>
      </c>
      <c r="Y616" s="4">
        <v>3</v>
      </c>
      <c r="Z616" s="4">
        <v>1</v>
      </c>
      <c r="AA616" s="4">
        <v>80</v>
      </c>
      <c r="AB616" s="4">
        <v>1</v>
      </c>
      <c r="AC616" s="4">
        <v>8</v>
      </c>
      <c r="AD616" s="4">
        <v>2</v>
      </c>
      <c r="AE616" s="4">
        <v>3</v>
      </c>
      <c r="AF616" s="4">
        <v>8</v>
      </c>
      <c r="AG616" s="4">
        <v>7</v>
      </c>
      <c r="AH616" s="4">
        <v>1</v>
      </c>
      <c r="AI616" s="4">
        <v>7</v>
      </c>
      <c r="AJ616" s="4"/>
      <c r="AK616" s="4"/>
      <c r="AL616" s="4"/>
      <c r="AM616" s="4"/>
      <c r="AN616" s="4"/>
      <c r="AO616" s="4"/>
    </row>
    <row r="617" spans="1:41" hidden="1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41" hidden="1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41" hidden="1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41" hidden="1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41" hidden="1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41" hidden="1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41" x14ac:dyDescent="0.3">
      <c r="A623" s="4">
        <v>36</v>
      </c>
      <c r="B623" s="4" t="s">
        <v>43</v>
      </c>
      <c r="C623" s="4" t="s">
        <v>36</v>
      </c>
      <c r="D623" s="4">
        <v>928</v>
      </c>
      <c r="E623" s="4" t="s">
        <v>37</v>
      </c>
      <c r="F623" s="4">
        <v>1</v>
      </c>
      <c r="G623" s="4">
        <v>2</v>
      </c>
      <c r="H623" s="4" t="s">
        <v>38</v>
      </c>
      <c r="I623" s="4">
        <v>1</v>
      </c>
      <c r="J623" s="4">
        <v>857</v>
      </c>
      <c r="K623" s="4">
        <v>2</v>
      </c>
      <c r="L623" s="4" t="s">
        <v>46</v>
      </c>
      <c r="M623" s="4">
        <v>56</v>
      </c>
      <c r="N623" s="4">
        <v>3</v>
      </c>
      <c r="O623" s="4">
        <v>2</v>
      </c>
      <c r="P623" s="4" t="s">
        <v>40</v>
      </c>
      <c r="Q623" s="4">
        <v>4</v>
      </c>
      <c r="R623" s="4" t="s">
        <v>48</v>
      </c>
      <c r="S623" s="4">
        <v>6201</v>
      </c>
      <c r="T623" s="4">
        <v>2823</v>
      </c>
      <c r="U623" s="4">
        <v>1</v>
      </c>
      <c r="V623" s="4" t="s">
        <v>42</v>
      </c>
      <c r="W623" s="4" t="s">
        <v>35</v>
      </c>
      <c r="X623" s="4">
        <v>14</v>
      </c>
      <c r="Y623" s="4">
        <v>3</v>
      </c>
      <c r="Z623" s="4">
        <v>4</v>
      </c>
      <c r="AA623" s="4">
        <v>80</v>
      </c>
      <c r="AB623" s="4">
        <v>1</v>
      </c>
      <c r="AC623" s="4">
        <v>18</v>
      </c>
      <c r="AD623" s="4">
        <v>1</v>
      </c>
      <c r="AE623" s="4">
        <v>2</v>
      </c>
      <c r="AF623" s="4">
        <v>18</v>
      </c>
      <c r="AG623" s="4">
        <v>14</v>
      </c>
      <c r="AH623" s="4">
        <v>4</v>
      </c>
      <c r="AI623" s="4">
        <v>11</v>
      </c>
      <c r="AJ623" s="4"/>
      <c r="AK623" s="4"/>
      <c r="AL623" s="4"/>
      <c r="AM623" s="4"/>
      <c r="AN623" s="4"/>
      <c r="AO623" s="4"/>
    </row>
    <row r="624" spans="1:41" hidden="1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41" hidden="1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41" x14ac:dyDescent="0.3">
      <c r="A626" s="4">
        <v>53</v>
      </c>
      <c r="B626" s="4" t="s">
        <v>43</v>
      </c>
      <c r="C626" s="4" t="s">
        <v>36</v>
      </c>
      <c r="D626" s="4">
        <v>661</v>
      </c>
      <c r="E626" s="4" t="s">
        <v>37</v>
      </c>
      <c r="F626" s="4">
        <v>7</v>
      </c>
      <c r="G626" s="4">
        <v>2</v>
      </c>
      <c r="H626" s="4" t="s">
        <v>59</v>
      </c>
      <c r="I626" s="4">
        <v>1</v>
      </c>
      <c r="J626" s="4">
        <v>862</v>
      </c>
      <c r="K626" s="4">
        <v>1</v>
      </c>
      <c r="L626" s="4" t="s">
        <v>39</v>
      </c>
      <c r="M626" s="4">
        <v>78</v>
      </c>
      <c r="N626" s="4">
        <v>2</v>
      </c>
      <c r="O626" s="4">
        <v>3</v>
      </c>
      <c r="P626" s="4" t="s">
        <v>40</v>
      </c>
      <c r="Q626" s="4">
        <v>4</v>
      </c>
      <c r="R626" s="4" t="s">
        <v>48</v>
      </c>
      <c r="S626" s="4">
        <v>10934</v>
      </c>
      <c r="T626" s="4">
        <v>20715</v>
      </c>
      <c r="U626" s="4">
        <v>7</v>
      </c>
      <c r="V626" s="4" t="s">
        <v>42</v>
      </c>
      <c r="W626" s="4" t="s">
        <v>35</v>
      </c>
      <c r="X626" s="4">
        <v>18</v>
      </c>
      <c r="Y626" s="4">
        <v>3</v>
      </c>
      <c r="Z626" s="4">
        <v>4</v>
      </c>
      <c r="AA626" s="4">
        <v>80</v>
      </c>
      <c r="AB626" s="4">
        <v>1</v>
      </c>
      <c r="AC626" s="4">
        <v>35</v>
      </c>
      <c r="AD626" s="4">
        <v>3</v>
      </c>
      <c r="AE626" s="4">
        <v>3</v>
      </c>
      <c r="AF626" s="4">
        <v>5</v>
      </c>
      <c r="AG626" s="4">
        <v>2</v>
      </c>
      <c r="AH626" s="4">
        <v>0</v>
      </c>
      <c r="AI626" s="4">
        <v>4</v>
      </c>
      <c r="AJ626" s="4"/>
      <c r="AK626" s="4"/>
      <c r="AL626" s="4"/>
      <c r="AM626" s="4"/>
      <c r="AN626" s="4"/>
      <c r="AO626" s="4"/>
    </row>
    <row r="627" spans="1:41" x14ac:dyDescent="0.3">
      <c r="A627" s="4">
        <v>45</v>
      </c>
      <c r="B627" s="4" t="s">
        <v>43</v>
      </c>
      <c r="C627" s="4" t="s">
        <v>36</v>
      </c>
      <c r="D627" s="4">
        <v>930</v>
      </c>
      <c r="E627" s="4" t="s">
        <v>37</v>
      </c>
      <c r="F627" s="4">
        <v>9</v>
      </c>
      <c r="G627" s="4">
        <v>3</v>
      </c>
      <c r="H627" s="4" t="s">
        <v>59</v>
      </c>
      <c r="I627" s="4">
        <v>1</v>
      </c>
      <c r="J627" s="4">
        <v>864</v>
      </c>
      <c r="K627" s="4">
        <v>4</v>
      </c>
      <c r="L627" s="4" t="s">
        <v>46</v>
      </c>
      <c r="M627" s="4">
        <v>74</v>
      </c>
      <c r="N627" s="4">
        <v>3</v>
      </c>
      <c r="O627" s="4">
        <v>3</v>
      </c>
      <c r="P627" s="4" t="s">
        <v>40</v>
      </c>
      <c r="Q627" s="4">
        <v>1</v>
      </c>
      <c r="R627" s="4" t="s">
        <v>52</v>
      </c>
      <c r="S627" s="4">
        <v>10761</v>
      </c>
      <c r="T627" s="4">
        <v>19239</v>
      </c>
      <c r="U627" s="4">
        <v>4</v>
      </c>
      <c r="V627" s="4" t="s">
        <v>42</v>
      </c>
      <c r="W627" s="4" t="s">
        <v>35</v>
      </c>
      <c r="X627" s="4">
        <v>12</v>
      </c>
      <c r="Y627" s="4">
        <v>3</v>
      </c>
      <c r="Z627" s="4">
        <v>3</v>
      </c>
      <c r="AA627" s="4">
        <v>80</v>
      </c>
      <c r="AB627" s="4">
        <v>1</v>
      </c>
      <c r="AC627" s="4">
        <v>18</v>
      </c>
      <c r="AD627" s="4">
        <v>2</v>
      </c>
      <c r="AE627" s="4">
        <v>3</v>
      </c>
      <c r="AF627" s="4">
        <v>5</v>
      </c>
      <c r="AG627" s="4">
        <v>4</v>
      </c>
      <c r="AH627" s="4">
        <v>0</v>
      </c>
      <c r="AI627" s="4">
        <v>2</v>
      </c>
      <c r="AJ627" s="4"/>
      <c r="AK627" s="4"/>
      <c r="AL627" s="4"/>
      <c r="AM627" s="4"/>
      <c r="AN627" s="4"/>
      <c r="AO627" s="4"/>
    </row>
    <row r="628" spans="1:41" hidden="1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41" hidden="1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41" hidden="1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41" hidden="1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41" hidden="1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41" x14ac:dyDescent="0.3">
      <c r="A633" s="4">
        <v>44</v>
      </c>
      <c r="B633" s="4" t="s">
        <v>43</v>
      </c>
      <c r="C633" s="4" t="s">
        <v>36</v>
      </c>
      <c r="D633" s="4">
        <v>986</v>
      </c>
      <c r="E633" s="4" t="s">
        <v>45</v>
      </c>
      <c r="F633" s="4">
        <v>8</v>
      </c>
      <c r="G633" s="4">
        <v>4</v>
      </c>
      <c r="H633" s="4" t="s">
        <v>38</v>
      </c>
      <c r="I633" s="4">
        <v>1</v>
      </c>
      <c r="J633" s="4">
        <v>874</v>
      </c>
      <c r="K633" s="4">
        <v>1</v>
      </c>
      <c r="L633" s="4" t="s">
        <v>46</v>
      </c>
      <c r="M633" s="4">
        <v>62</v>
      </c>
      <c r="N633" s="4">
        <v>4</v>
      </c>
      <c r="O633" s="4">
        <v>1</v>
      </c>
      <c r="P633" s="4" t="s">
        <v>50</v>
      </c>
      <c r="Q633" s="4">
        <v>4</v>
      </c>
      <c r="R633" s="4" t="s">
        <v>48</v>
      </c>
      <c r="S633" s="4">
        <v>2818</v>
      </c>
      <c r="T633" s="4">
        <v>5044</v>
      </c>
      <c r="U633" s="4">
        <v>2</v>
      </c>
      <c r="V633" s="4" t="s">
        <v>42</v>
      </c>
      <c r="W633" s="4" t="s">
        <v>35</v>
      </c>
      <c r="X633" s="4">
        <v>24</v>
      </c>
      <c r="Y633" s="4">
        <v>4</v>
      </c>
      <c r="Z633" s="4">
        <v>3</v>
      </c>
      <c r="AA633" s="4">
        <v>80</v>
      </c>
      <c r="AB633" s="4">
        <v>1</v>
      </c>
      <c r="AC633" s="4">
        <v>10</v>
      </c>
      <c r="AD633" s="4">
        <v>2</v>
      </c>
      <c r="AE633" s="4">
        <v>2</v>
      </c>
      <c r="AF633" s="4">
        <v>3</v>
      </c>
      <c r="AG633" s="4">
        <v>2</v>
      </c>
      <c r="AH633" s="4">
        <v>0</v>
      </c>
      <c r="AI633" s="4">
        <v>2</v>
      </c>
      <c r="AJ633" s="4"/>
      <c r="AK633" s="4"/>
      <c r="AL633" s="4"/>
      <c r="AM633" s="4"/>
      <c r="AN633" s="4"/>
      <c r="AO633" s="4"/>
    </row>
    <row r="634" spans="1:41" x14ac:dyDescent="0.3">
      <c r="A634" s="4">
        <v>42</v>
      </c>
      <c r="B634" s="4" t="s">
        <v>43</v>
      </c>
      <c r="C634" s="4" t="s">
        <v>44</v>
      </c>
      <c r="D634" s="4">
        <v>1271</v>
      </c>
      <c r="E634" s="4" t="s">
        <v>45</v>
      </c>
      <c r="F634" s="4">
        <v>2</v>
      </c>
      <c r="G634" s="4">
        <v>1</v>
      </c>
      <c r="H634" s="4" t="s">
        <v>51</v>
      </c>
      <c r="I634" s="4">
        <v>1</v>
      </c>
      <c r="J634" s="4">
        <v>875</v>
      </c>
      <c r="K634" s="4">
        <v>2</v>
      </c>
      <c r="L634" s="4" t="s">
        <v>46</v>
      </c>
      <c r="M634" s="4">
        <v>35</v>
      </c>
      <c r="N634" s="4">
        <v>3</v>
      </c>
      <c r="O634" s="4">
        <v>1</v>
      </c>
      <c r="P634" s="4" t="s">
        <v>47</v>
      </c>
      <c r="Q634" s="4">
        <v>4</v>
      </c>
      <c r="R634" s="4" t="s">
        <v>41</v>
      </c>
      <c r="S634" s="4">
        <v>2515</v>
      </c>
      <c r="T634" s="4">
        <v>9068</v>
      </c>
      <c r="U634" s="4">
        <v>5</v>
      </c>
      <c r="V634" s="4" t="s">
        <v>42</v>
      </c>
      <c r="W634" s="4" t="s">
        <v>35</v>
      </c>
      <c r="X634" s="4">
        <v>14</v>
      </c>
      <c r="Y634" s="4">
        <v>3</v>
      </c>
      <c r="Z634" s="4">
        <v>4</v>
      </c>
      <c r="AA634" s="4">
        <v>80</v>
      </c>
      <c r="AB634" s="4">
        <v>0</v>
      </c>
      <c r="AC634" s="4">
        <v>8</v>
      </c>
      <c r="AD634" s="4">
        <v>2</v>
      </c>
      <c r="AE634" s="4">
        <v>3</v>
      </c>
      <c r="AF634" s="4">
        <v>2</v>
      </c>
      <c r="AG634" s="4">
        <v>1</v>
      </c>
      <c r="AH634" s="4">
        <v>2</v>
      </c>
      <c r="AI634" s="4">
        <v>2</v>
      </c>
      <c r="AJ634" s="4"/>
      <c r="AK634" s="4"/>
      <c r="AL634" s="4"/>
      <c r="AM634" s="4"/>
      <c r="AN634" s="4"/>
      <c r="AO634" s="4"/>
    </row>
    <row r="635" spans="1:41" hidden="1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41" x14ac:dyDescent="0.3">
      <c r="A636" s="4">
        <v>25</v>
      </c>
      <c r="B636" s="4" t="s">
        <v>43</v>
      </c>
      <c r="C636" s="4" t="s">
        <v>36</v>
      </c>
      <c r="D636" s="4">
        <v>141</v>
      </c>
      <c r="E636" s="4" t="s">
        <v>37</v>
      </c>
      <c r="F636" s="4">
        <v>3</v>
      </c>
      <c r="G636" s="4">
        <v>1</v>
      </c>
      <c r="H636" s="4" t="s">
        <v>49</v>
      </c>
      <c r="I636" s="4">
        <v>1</v>
      </c>
      <c r="J636" s="4">
        <v>879</v>
      </c>
      <c r="K636" s="4">
        <v>3</v>
      </c>
      <c r="L636" s="4" t="s">
        <v>46</v>
      </c>
      <c r="M636" s="4">
        <v>98</v>
      </c>
      <c r="N636" s="4">
        <v>3</v>
      </c>
      <c r="O636" s="4">
        <v>2</v>
      </c>
      <c r="P636" s="4" t="s">
        <v>40</v>
      </c>
      <c r="Q636" s="4">
        <v>1</v>
      </c>
      <c r="R636" s="4" t="s">
        <v>48</v>
      </c>
      <c r="S636" s="4">
        <v>4194</v>
      </c>
      <c r="T636" s="4">
        <v>14363</v>
      </c>
      <c r="U636" s="4">
        <v>1</v>
      </c>
      <c r="V636" s="4" t="s">
        <v>42</v>
      </c>
      <c r="W636" s="4" t="s">
        <v>35</v>
      </c>
      <c r="X636" s="4">
        <v>18</v>
      </c>
      <c r="Y636" s="4">
        <v>3</v>
      </c>
      <c r="Z636" s="4">
        <v>4</v>
      </c>
      <c r="AA636" s="4">
        <v>80</v>
      </c>
      <c r="AB636" s="4">
        <v>0</v>
      </c>
      <c r="AC636" s="4">
        <v>5</v>
      </c>
      <c r="AD636" s="4">
        <v>3</v>
      </c>
      <c r="AE636" s="4">
        <v>3</v>
      </c>
      <c r="AF636" s="4">
        <v>5</v>
      </c>
      <c r="AG636" s="4">
        <v>3</v>
      </c>
      <c r="AH636" s="4">
        <v>0</v>
      </c>
      <c r="AI636" s="4">
        <v>3</v>
      </c>
      <c r="AJ636" s="4"/>
      <c r="AK636" s="4"/>
      <c r="AL636" s="4"/>
      <c r="AM636" s="4"/>
      <c r="AN636" s="4"/>
      <c r="AO636" s="4"/>
    </row>
    <row r="637" spans="1:41" x14ac:dyDescent="0.3">
      <c r="A637" s="4">
        <v>35</v>
      </c>
      <c r="B637" s="4" t="s">
        <v>43</v>
      </c>
      <c r="C637" s="4" t="s">
        <v>36</v>
      </c>
      <c r="D637" s="4">
        <v>607</v>
      </c>
      <c r="E637" s="4" t="s">
        <v>45</v>
      </c>
      <c r="F637" s="4">
        <v>9</v>
      </c>
      <c r="G637" s="4">
        <v>3</v>
      </c>
      <c r="H637" s="4" t="s">
        <v>38</v>
      </c>
      <c r="I637" s="4">
        <v>1</v>
      </c>
      <c r="J637" s="4">
        <v>880</v>
      </c>
      <c r="K637" s="4">
        <v>4</v>
      </c>
      <c r="L637" s="4" t="s">
        <v>39</v>
      </c>
      <c r="M637" s="4">
        <v>66</v>
      </c>
      <c r="N637" s="4">
        <v>2</v>
      </c>
      <c r="O637" s="4">
        <v>3</v>
      </c>
      <c r="P637" s="4" t="s">
        <v>53</v>
      </c>
      <c r="Q637" s="4">
        <v>3</v>
      </c>
      <c r="R637" s="4" t="s">
        <v>48</v>
      </c>
      <c r="S637" s="4">
        <v>10685</v>
      </c>
      <c r="T637" s="4">
        <v>23457</v>
      </c>
      <c r="U637" s="4">
        <v>1</v>
      </c>
      <c r="V637" s="4" t="s">
        <v>42</v>
      </c>
      <c r="W637" s="4" t="s">
        <v>35</v>
      </c>
      <c r="X637" s="4">
        <v>20</v>
      </c>
      <c r="Y637" s="4">
        <v>4</v>
      </c>
      <c r="Z637" s="4">
        <v>2</v>
      </c>
      <c r="AA637" s="4">
        <v>80</v>
      </c>
      <c r="AB637" s="4">
        <v>1</v>
      </c>
      <c r="AC637" s="4">
        <v>17</v>
      </c>
      <c r="AD637" s="4">
        <v>2</v>
      </c>
      <c r="AE637" s="4">
        <v>3</v>
      </c>
      <c r="AF637" s="4">
        <v>17</v>
      </c>
      <c r="AG637" s="4">
        <v>14</v>
      </c>
      <c r="AH637" s="4">
        <v>5</v>
      </c>
      <c r="AI637" s="4">
        <v>15</v>
      </c>
      <c r="AJ637" s="4"/>
      <c r="AK637" s="4"/>
      <c r="AL637" s="4"/>
      <c r="AM637" s="4"/>
      <c r="AN637" s="4"/>
      <c r="AO637" s="4"/>
    </row>
    <row r="638" spans="1:41" x14ac:dyDescent="0.3">
      <c r="A638" s="4">
        <v>35</v>
      </c>
      <c r="B638" s="4" t="s">
        <v>35</v>
      </c>
      <c r="C638" s="4" t="s">
        <v>44</v>
      </c>
      <c r="D638" s="4">
        <v>130</v>
      </c>
      <c r="E638" s="4" t="s">
        <v>45</v>
      </c>
      <c r="F638" s="4">
        <v>25</v>
      </c>
      <c r="G638" s="4">
        <v>4</v>
      </c>
      <c r="H638" s="4" t="s">
        <v>38</v>
      </c>
      <c r="I638" s="4">
        <v>1</v>
      </c>
      <c r="J638" s="4">
        <v>881</v>
      </c>
      <c r="K638" s="4">
        <v>4</v>
      </c>
      <c r="L638" s="4" t="s">
        <v>39</v>
      </c>
      <c r="M638" s="4">
        <v>96</v>
      </c>
      <c r="N638" s="4">
        <v>3</v>
      </c>
      <c r="O638" s="4">
        <v>1</v>
      </c>
      <c r="P638" s="4" t="s">
        <v>47</v>
      </c>
      <c r="Q638" s="4">
        <v>2</v>
      </c>
      <c r="R638" s="4" t="s">
        <v>52</v>
      </c>
      <c r="S638" s="4">
        <v>2022</v>
      </c>
      <c r="T638" s="4">
        <v>16612</v>
      </c>
      <c r="U638" s="4">
        <v>1</v>
      </c>
      <c r="V638" s="4" t="s">
        <v>42</v>
      </c>
      <c r="W638" s="4" t="s">
        <v>35</v>
      </c>
      <c r="X638" s="4">
        <v>19</v>
      </c>
      <c r="Y638" s="4">
        <v>3</v>
      </c>
      <c r="Z638" s="4">
        <v>1</v>
      </c>
      <c r="AA638" s="4">
        <v>80</v>
      </c>
      <c r="AB638" s="4">
        <v>1</v>
      </c>
      <c r="AC638" s="4">
        <v>10</v>
      </c>
      <c r="AD638" s="4">
        <v>3</v>
      </c>
      <c r="AE638" s="4">
        <v>2</v>
      </c>
      <c r="AF638" s="4">
        <v>10</v>
      </c>
      <c r="AG638" s="4">
        <v>2</v>
      </c>
      <c r="AH638" s="4">
        <v>7</v>
      </c>
      <c r="AI638" s="4">
        <v>8</v>
      </c>
      <c r="AJ638" s="4"/>
      <c r="AK638" s="4"/>
      <c r="AL638" s="4"/>
      <c r="AM638" s="4"/>
      <c r="AN638" s="4"/>
      <c r="AO638" s="4"/>
    </row>
    <row r="639" spans="1:41" hidden="1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41" hidden="1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41" hidden="1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41" hidden="1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41" hidden="1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41" hidden="1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41" x14ac:dyDescent="0.3">
      <c r="A645" s="4">
        <v>42</v>
      </c>
      <c r="B645" s="4" t="s">
        <v>43</v>
      </c>
      <c r="C645" s="4" t="s">
        <v>36</v>
      </c>
      <c r="D645" s="4">
        <v>1265</v>
      </c>
      <c r="E645" s="4" t="s">
        <v>45</v>
      </c>
      <c r="F645" s="4">
        <v>3</v>
      </c>
      <c r="G645" s="4">
        <v>3</v>
      </c>
      <c r="H645" s="4" t="s">
        <v>38</v>
      </c>
      <c r="I645" s="4">
        <v>1</v>
      </c>
      <c r="J645" s="4">
        <v>894</v>
      </c>
      <c r="K645" s="4">
        <v>3</v>
      </c>
      <c r="L645" s="4" t="s">
        <v>39</v>
      </c>
      <c r="M645" s="4">
        <v>95</v>
      </c>
      <c r="N645" s="4">
        <v>4</v>
      </c>
      <c r="O645" s="4">
        <v>2</v>
      </c>
      <c r="P645" s="4" t="s">
        <v>50</v>
      </c>
      <c r="Q645" s="4">
        <v>4</v>
      </c>
      <c r="R645" s="4" t="s">
        <v>48</v>
      </c>
      <c r="S645" s="4">
        <v>5231</v>
      </c>
      <c r="T645" s="4">
        <v>23726</v>
      </c>
      <c r="U645" s="4">
        <v>2</v>
      </c>
      <c r="V645" s="4" t="s">
        <v>42</v>
      </c>
      <c r="W645" s="4" t="s">
        <v>35</v>
      </c>
      <c r="X645" s="4">
        <v>13</v>
      </c>
      <c r="Y645" s="4">
        <v>3</v>
      </c>
      <c r="Z645" s="4">
        <v>2</v>
      </c>
      <c r="AA645" s="4">
        <v>80</v>
      </c>
      <c r="AB645" s="4">
        <v>1</v>
      </c>
      <c r="AC645" s="4">
        <v>17</v>
      </c>
      <c r="AD645" s="4">
        <v>1</v>
      </c>
      <c r="AE645" s="4">
        <v>2</v>
      </c>
      <c r="AF645" s="4">
        <v>5</v>
      </c>
      <c r="AG645" s="4">
        <v>3</v>
      </c>
      <c r="AH645" s="4">
        <v>1</v>
      </c>
      <c r="AI645" s="4">
        <v>3</v>
      </c>
      <c r="AJ645" s="4"/>
      <c r="AK645" s="4"/>
      <c r="AL645" s="4"/>
      <c r="AM645" s="4"/>
      <c r="AN645" s="4"/>
      <c r="AO645" s="4"/>
    </row>
    <row r="646" spans="1:41" x14ac:dyDescent="0.3">
      <c r="A646" s="4">
        <v>31</v>
      </c>
      <c r="B646" s="4" t="s">
        <v>43</v>
      </c>
      <c r="C646" s="4" t="s">
        <v>36</v>
      </c>
      <c r="D646" s="4">
        <v>1222</v>
      </c>
      <c r="E646" s="4" t="s">
        <v>45</v>
      </c>
      <c r="F646" s="4">
        <v>11</v>
      </c>
      <c r="G646" s="4">
        <v>4</v>
      </c>
      <c r="H646" s="4" t="s">
        <v>38</v>
      </c>
      <c r="I646" s="4">
        <v>1</v>
      </c>
      <c r="J646" s="4">
        <v>895</v>
      </c>
      <c r="K646" s="4">
        <v>4</v>
      </c>
      <c r="L646" s="4" t="s">
        <v>46</v>
      </c>
      <c r="M646" s="4">
        <v>48</v>
      </c>
      <c r="N646" s="4">
        <v>3</v>
      </c>
      <c r="O646" s="4">
        <v>1</v>
      </c>
      <c r="P646" s="4" t="s">
        <v>47</v>
      </c>
      <c r="Q646" s="4">
        <v>4</v>
      </c>
      <c r="R646" s="4" t="s">
        <v>48</v>
      </c>
      <c r="S646" s="4">
        <v>2356</v>
      </c>
      <c r="T646" s="4">
        <v>14871</v>
      </c>
      <c r="U646" s="4">
        <v>3</v>
      </c>
      <c r="V646" s="4" t="s">
        <v>42</v>
      </c>
      <c r="W646" s="4" t="s">
        <v>35</v>
      </c>
      <c r="X646" s="4">
        <v>19</v>
      </c>
      <c r="Y646" s="4">
        <v>3</v>
      </c>
      <c r="Z646" s="4">
        <v>2</v>
      </c>
      <c r="AA646" s="4">
        <v>80</v>
      </c>
      <c r="AB646" s="4">
        <v>1</v>
      </c>
      <c r="AC646" s="4">
        <v>8</v>
      </c>
      <c r="AD646" s="4">
        <v>2</v>
      </c>
      <c r="AE646" s="4">
        <v>3</v>
      </c>
      <c r="AF646" s="4">
        <v>6</v>
      </c>
      <c r="AG646" s="4">
        <v>4</v>
      </c>
      <c r="AH646" s="4">
        <v>0</v>
      </c>
      <c r="AI646" s="4">
        <v>2</v>
      </c>
      <c r="AJ646" s="4"/>
      <c r="AK646" s="4"/>
      <c r="AL646" s="4"/>
      <c r="AM646" s="4"/>
      <c r="AN646" s="4"/>
      <c r="AO646" s="4"/>
    </row>
    <row r="647" spans="1:41" x14ac:dyDescent="0.3">
      <c r="A647" s="4">
        <v>29</v>
      </c>
      <c r="B647" s="4" t="s">
        <v>35</v>
      </c>
      <c r="C647" s="4" t="s">
        <v>36</v>
      </c>
      <c r="D647" s="4">
        <v>341</v>
      </c>
      <c r="E647" s="4" t="s">
        <v>37</v>
      </c>
      <c r="F647" s="4">
        <v>1</v>
      </c>
      <c r="G647" s="4">
        <v>3</v>
      </c>
      <c r="H647" s="4" t="s">
        <v>51</v>
      </c>
      <c r="I647" s="4">
        <v>1</v>
      </c>
      <c r="J647" s="4">
        <v>896</v>
      </c>
      <c r="K647" s="4">
        <v>2</v>
      </c>
      <c r="L647" s="4" t="s">
        <v>39</v>
      </c>
      <c r="M647" s="4">
        <v>48</v>
      </c>
      <c r="N647" s="4">
        <v>2</v>
      </c>
      <c r="O647" s="4">
        <v>1</v>
      </c>
      <c r="P647" s="4" t="s">
        <v>57</v>
      </c>
      <c r="Q647" s="4">
        <v>3</v>
      </c>
      <c r="R647" s="4" t="s">
        <v>52</v>
      </c>
      <c r="S647" s="4">
        <v>2800</v>
      </c>
      <c r="T647" s="4">
        <v>23522</v>
      </c>
      <c r="U647" s="4">
        <v>6</v>
      </c>
      <c r="V647" s="4" t="s">
        <v>42</v>
      </c>
      <c r="W647" s="4" t="s">
        <v>35</v>
      </c>
      <c r="X647" s="4">
        <v>19</v>
      </c>
      <c r="Y647" s="4">
        <v>3</v>
      </c>
      <c r="Z647" s="4">
        <v>3</v>
      </c>
      <c r="AA647" s="4">
        <v>80</v>
      </c>
      <c r="AB647" s="4">
        <v>3</v>
      </c>
      <c r="AC647" s="4">
        <v>5</v>
      </c>
      <c r="AD647" s="4">
        <v>3</v>
      </c>
      <c r="AE647" s="4">
        <v>3</v>
      </c>
      <c r="AF647" s="4">
        <v>3</v>
      </c>
      <c r="AG647" s="4">
        <v>2</v>
      </c>
      <c r="AH647" s="4">
        <v>0</v>
      </c>
      <c r="AI647" s="4">
        <v>2</v>
      </c>
      <c r="AJ647" s="4"/>
      <c r="AK647" s="4"/>
      <c r="AL647" s="4"/>
      <c r="AM647" s="4"/>
      <c r="AN647" s="4"/>
      <c r="AO647" s="4"/>
    </row>
    <row r="648" spans="1:41" hidden="1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41" hidden="1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41" hidden="1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41" hidden="1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41" hidden="1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41" x14ac:dyDescent="0.3">
      <c r="A653" s="4">
        <v>47</v>
      </c>
      <c r="B653" s="4" t="s">
        <v>43</v>
      </c>
      <c r="C653" s="4" t="s">
        <v>36</v>
      </c>
      <c r="D653" s="4">
        <v>249</v>
      </c>
      <c r="E653" s="4" t="s">
        <v>37</v>
      </c>
      <c r="F653" s="4">
        <v>2</v>
      </c>
      <c r="G653" s="4">
        <v>2</v>
      </c>
      <c r="H653" s="4" t="s">
        <v>59</v>
      </c>
      <c r="I653" s="4">
        <v>1</v>
      </c>
      <c r="J653" s="4">
        <v>903</v>
      </c>
      <c r="K653" s="4">
        <v>3</v>
      </c>
      <c r="L653" s="4" t="s">
        <v>39</v>
      </c>
      <c r="M653" s="4">
        <v>35</v>
      </c>
      <c r="N653" s="4">
        <v>3</v>
      </c>
      <c r="O653" s="4">
        <v>2</v>
      </c>
      <c r="P653" s="4" t="s">
        <v>40</v>
      </c>
      <c r="Q653" s="4">
        <v>4</v>
      </c>
      <c r="R653" s="4" t="s">
        <v>48</v>
      </c>
      <c r="S653" s="4">
        <v>4537</v>
      </c>
      <c r="T653" s="4">
        <v>17783</v>
      </c>
      <c r="U653" s="4">
        <v>0</v>
      </c>
      <c r="V653" s="4" t="s">
        <v>42</v>
      </c>
      <c r="W653" s="4" t="s">
        <v>35</v>
      </c>
      <c r="X653" s="4">
        <v>22</v>
      </c>
      <c r="Y653" s="4">
        <v>4</v>
      </c>
      <c r="Z653" s="4">
        <v>1</v>
      </c>
      <c r="AA653" s="4">
        <v>80</v>
      </c>
      <c r="AB653" s="4">
        <v>1</v>
      </c>
      <c r="AC653" s="4">
        <v>8</v>
      </c>
      <c r="AD653" s="4">
        <v>2</v>
      </c>
      <c r="AE653" s="4">
        <v>3</v>
      </c>
      <c r="AF653" s="4">
        <v>7</v>
      </c>
      <c r="AG653" s="4">
        <v>6</v>
      </c>
      <c r="AH653" s="4">
        <v>7</v>
      </c>
      <c r="AI653" s="4">
        <v>7</v>
      </c>
      <c r="AJ653" s="4"/>
      <c r="AK653" s="4"/>
      <c r="AL653" s="4"/>
      <c r="AM653" s="4"/>
      <c r="AN653" s="4"/>
      <c r="AO653" s="4"/>
    </row>
    <row r="654" spans="1:41" x14ac:dyDescent="0.3">
      <c r="A654" s="4">
        <v>37</v>
      </c>
      <c r="B654" s="4" t="s">
        <v>43</v>
      </c>
      <c r="C654" s="4" t="s">
        <v>55</v>
      </c>
      <c r="D654" s="4">
        <v>1252</v>
      </c>
      <c r="E654" s="4" t="s">
        <v>37</v>
      </c>
      <c r="F654" s="4">
        <v>19</v>
      </c>
      <c r="G654" s="4">
        <v>2</v>
      </c>
      <c r="H654" s="4" t="s">
        <v>51</v>
      </c>
      <c r="I654" s="4">
        <v>1</v>
      </c>
      <c r="J654" s="4">
        <v>904</v>
      </c>
      <c r="K654" s="4">
        <v>1</v>
      </c>
      <c r="L654" s="4" t="s">
        <v>46</v>
      </c>
      <c r="M654" s="4">
        <v>32</v>
      </c>
      <c r="N654" s="4">
        <v>3</v>
      </c>
      <c r="O654" s="4">
        <v>3</v>
      </c>
      <c r="P654" s="4" t="s">
        <v>40</v>
      </c>
      <c r="Q654" s="4">
        <v>2</v>
      </c>
      <c r="R654" s="4" t="s">
        <v>41</v>
      </c>
      <c r="S654" s="4">
        <v>7642</v>
      </c>
      <c r="T654" s="4">
        <v>4814</v>
      </c>
      <c r="U654" s="4">
        <v>1</v>
      </c>
      <c r="V654" s="4" t="s">
        <v>42</v>
      </c>
      <c r="W654" s="4" t="s">
        <v>35</v>
      </c>
      <c r="X654" s="4">
        <v>13</v>
      </c>
      <c r="Y654" s="4">
        <v>3</v>
      </c>
      <c r="Z654" s="4">
        <v>4</v>
      </c>
      <c r="AA654" s="4">
        <v>80</v>
      </c>
      <c r="AB654" s="4">
        <v>0</v>
      </c>
      <c r="AC654" s="4">
        <v>10</v>
      </c>
      <c r="AD654" s="4">
        <v>2</v>
      </c>
      <c r="AE654" s="4">
        <v>3</v>
      </c>
      <c r="AF654" s="4">
        <v>10</v>
      </c>
      <c r="AG654" s="4">
        <v>0</v>
      </c>
      <c r="AH654" s="4">
        <v>0</v>
      </c>
      <c r="AI654" s="4">
        <v>9</v>
      </c>
      <c r="AJ654" s="4"/>
      <c r="AK654" s="4"/>
      <c r="AL654" s="4"/>
      <c r="AM654" s="4"/>
      <c r="AN654" s="4"/>
      <c r="AO654" s="4"/>
    </row>
    <row r="655" spans="1:41" hidden="1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41" hidden="1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41" x14ac:dyDescent="0.3">
      <c r="A657" s="4">
        <v>33</v>
      </c>
      <c r="B657" s="4" t="s">
        <v>43</v>
      </c>
      <c r="C657" s="4" t="s">
        <v>36</v>
      </c>
      <c r="D657" s="4">
        <v>1075</v>
      </c>
      <c r="E657" s="4" t="s">
        <v>61</v>
      </c>
      <c r="F657" s="4">
        <v>3</v>
      </c>
      <c r="G657" s="4">
        <v>2</v>
      </c>
      <c r="H657" s="4" t="s">
        <v>61</v>
      </c>
      <c r="I657" s="4">
        <v>1</v>
      </c>
      <c r="J657" s="4">
        <v>910</v>
      </c>
      <c r="K657" s="4">
        <v>4</v>
      </c>
      <c r="L657" s="4" t="s">
        <v>46</v>
      </c>
      <c r="M657" s="4">
        <v>57</v>
      </c>
      <c r="N657" s="4">
        <v>3</v>
      </c>
      <c r="O657" s="4">
        <v>1</v>
      </c>
      <c r="P657" s="4" t="s">
        <v>61</v>
      </c>
      <c r="Q657" s="4">
        <v>2</v>
      </c>
      <c r="R657" s="4" t="s">
        <v>52</v>
      </c>
      <c r="S657" s="4">
        <v>2277</v>
      </c>
      <c r="T657" s="4">
        <v>22650</v>
      </c>
      <c r="U657" s="4">
        <v>3</v>
      </c>
      <c r="V657" s="4" t="s">
        <v>42</v>
      </c>
      <c r="W657" s="4" t="s">
        <v>35</v>
      </c>
      <c r="X657" s="4">
        <v>11</v>
      </c>
      <c r="Y657" s="4">
        <v>3</v>
      </c>
      <c r="Z657" s="4">
        <v>3</v>
      </c>
      <c r="AA657" s="4">
        <v>80</v>
      </c>
      <c r="AB657" s="4">
        <v>1</v>
      </c>
      <c r="AC657" s="4">
        <v>7</v>
      </c>
      <c r="AD657" s="4">
        <v>4</v>
      </c>
      <c r="AE657" s="4">
        <v>4</v>
      </c>
      <c r="AF657" s="4">
        <v>4</v>
      </c>
      <c r="AG657" s="4">
        <v>3</v>
      </c>
      <c r="AH657" s="4">
        <v>0</v>
      </c>
      <c r="AI657" s="4">
        <v>3</v>
      </c>
      <c r="AJ657" s="4"/>
      <c r="AK657" s="4"/>
      <c r="AL657" s="4"/>
      <c r="AM657" s="4"/>
      <c r="AN657" s="4"/>
      <c r="AO657" s="4"/>
    </row>
    <row r="658" spans="1:41" x14ac:dyDescent="0.3">
      <c r="A658" s="4">
        <v>32</v>
      </c>
      <c r="B658" s="4" t="s">
        <v>35</v>
      </c>
      <c r="C658" s="4" t="s">
        <v>36</v>
      </c>
      <c r="D658" s="4">
        <v>374</v>
      </c>
      <c r="E658" s="4" t="s">
        <v>45</v>
      </c>
      <c r="F658" s="4">
        <v>25</v>
      </c>
      <c r="G658" s="4">
        <v>4</v>
      </c>
      <c r="H658" s="4" t="s">
        <v>38</v>
      </c>
      <c r="I658" s="4">
        <v>1</v>
      </c>
      <c r="J658" s="4">
        <v>911</v>
      </c>
      <c r="K658" s="4">
        <v>1</v>
      </c>
      <c r="L658" s="4" t="s">
        <v>46</v>
      </c>
      <c r="M658" s="4">
        <v>87</v>
      </c>
      <c r="N658" s="4">
        <v>3</v>
      </c>
      <c r="O658" s="4">
        <v>1</v>
      </c>
      <c r="P658" s="4" t="s">
        <v>50</v>
      </c>
      <c r="Q658" s="4">
        <v>4</v>
      </c>
      <c r="R658" s="4" t="s">
        <v>41</v>
      </c>
      <c r="S658" s="4">
        <v>2795</v>
      </c>
      <c r="T658" s="4">
        <v>18016</v>
      </c>
      <c r="U658" s="4">
        <v>1</v>
      </c>
      <c r="V658" s="4" t="s">
        <v>42</v>
      </c>
      <c r="W658" s="4" t="s">
        <v>35</v>
      </c>
      <c r="X658" s="4">
        <v>24</v>
      </c>
      <c r="Y658" s="4">
        <v>4</v>
      </c>
      <c r="Z658" s="4">
        <v>3</v>
      </c>
      <c r="AA658" s="4">
        <v>80</v>
      </c>
      <c r="AB658" s="4">
        <v>0</v>
      </c>
      <c r="AC658" s="4">
        <v>1</v>
      </c>
      <c r="AD658" s="4">
        <v>2</v>
      </c>
      <c r="AE658" s="4">
        <v>1</v>
      </c>
      <c r="AF658" s="4">
        <v>1</v>
      </c>
      <c r="AG658" s="4">
        <v>0</v>
      </c>
      <c r="AH658" s="4">
        <v>0</v>
      </c>
      <c r="AI658" s="4">
        <v>1</v>
      </c>
      <c r="AJ658" s="4"/>
      <c r="AK658" s="4"/>
      <c r="AL658" s="4"/>
      <c r="AM658" s="4"/>
      <c r="AN658" s="4"/>
      <c r="AO658" s="4"/>
    </row>
    <row r="659" spans="1:41" hidden="1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41" x14ac:dyDescent="0.3">
      <c r="A660" s="4">
        <v>44</v>
      </c>
      <c r="B660" s="4" t="s">
        <v>43</v>
      </c>
      <c r="C660" s="4" t="s">
        <v>36</v>
      </c>
      <c r="D660" s="4">
        <v>661</v>
      </c>
      <c r="E660" s="4" t="s">
        <v>45</v>
      </c>
      <c r="F660" s="4">
        <v>9</v>
      </c>
      <c r="G660" s="4">
        <v>2</v>
      </c>
      <c r="H660" s="4" t="s">
        <v>38</v>
      </c>
      <c r="I660" s="4">
        <v>1</v>
      </c>
      <c r="J660" s="4">
        <v>913</v>
      </c>
      <c r="K660" s="4">
        <v>2</v>
      </c>
      <c r="L660" s="4" t="s">
        <v>46</v>
      </c>
      <c r="M660" s="4">
        <v>61</v>
      </c>
      <c r="N660" s="4">
        <v>3</v>
      </c>
      <c r="O660" s="4">
        <v>1</v>
      </c>
      <c r="P660" s="4" t="s">
        <v>47</v>
      </c>
      <c r="Q660" s="4">
        <v>1</v>
      </c>
      <c r="R660" s="4" t="s">
        <v>48</v>
      </c>
      <c r="S660" s="4">
        <v>2559</v>
      </c>
      <c r="T660" s="4">
        <v>7508</v>
      </c>
      <c r="U660" s="4">
        <v>1</v>
      </c>
      <c r="V660" s="4" t="s">
        <v>42</v>
      </c>
      <c r="W660" s="4" t="s">
        <v>35</v>
      </c>
      <c r="X660" s="4">
        <v>13</v>
      </c>
      <c r="Y660" s="4">
        <v>3</v>
      </c>
      <c r="Z660" s="4">
        <v>4</v>
      </c>
      <c r="AA660" s="4">
        <v>80</v>
      </c>
      <c r="AB660" s="4">
        <v>0</v>
      </c>
      <c r="AC660" s="4">
        <v>8</v>
      </c>
      <c r="AD660" s="4">
        <v>0</v>
      </c>
      <c r="AE660" s="4">
        <v>3</v>
      </c>
      <c r="AF660" s="4">
        <v>8</v>
      </c>
      <c r="AG660" s="4">
        <v>7</v>
      </c>
      <c r="AH660" s="4">
        <v>7</v>
      </c>
      <c r="AI660" s="4">
        <v>1</v>
      </c>
      <c r="AJ660" s="4"/>
      <c r="AK660" s="4"/>
      <c r="AL660" s="4"/>
      <c r="AM660" s="4"/>
      <c r="AN660" s="4"/>
      <c r="AO660" s="4"/>
    </row>
    <row r="661" spans="1:41" hidden="1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41" x14ac:dyDescent="0.3">
      <c r="A662" s="4">
        <v>58</v>
      </c>
      <c r="B662" s="4" t="s">
        <v>35</v>
      </c>
      <c r="C662" s="4" t="s">
        <v>44</v>
      </c>
      <c r="D662" s="4">
        <v>781</v>
      </c>
      <c r="E662" s="4" t="s">
        <v>45</v>
      </c>
      <c r="F662" s="4">
        <v>2</v>
      </c>
      <c r="G662" s="4">
        <v>1</v>
      </c>
      <c r="H662" s="4" t="s">
        <v>38</v>
      </c>
      <c r="I662" s="4">
        <v>1</v>
      </c>
      <c r="J662" s="4">
        <v>918</v>
      </c>
      <c r="K662" s="4">
        <v>4</v>
      </c>
      <c r="L662" s="4" t="s">
        <v>46</v>
      </c>
      <c r="M662" s="4">
        <v>57</v>
      </c>
      <c r="N662" s="4">
        <v>2</v>
      </c>
      <c r="O662" s="4">
        <v>1</v>
      </c>
      <c r="P662" s="4" t="s">
        <v>50</v>
      </c>
      <c r="Q662" s="4">
        <v>4</v>
      </c>
      <c r="R662" s="4" t="s">
        <v>52</v>
      </c>
      <c r="S662" s="4">
        <v>2380</v>
      </c>
      <c r="T662" s="4">
        <v>13384</v>
      </c>
      <c r="U662" s="4">
        <v>9</v>
      </c>
      <c r="V662" s="4" t="s">
        <v>42</v>
      </c>
      <c r="W662" s="4" t="s">
        <v>35</v>
      </c>
      <c r="X662" s="4">
        <v>14</v>
      </c>
      <c r="Y662" s="4">
        <v>3</v>
      </c>
      <c r="Z662" s="4">
        <v>4</v>
      </c>
      <c r="AA662" s="4">
        <v>80</v>
      </c>
      <c r="AB662" s="4">
        <v>1</v>
      </c>
      <c r="AC662" s="4">
        <v>3</v>
      </c>
      <c r="AD662" s="4">
        <v>3</v>
      </c>
      <c r="AE662" s="4">
        <v>2</v>
      </c>
      <c r="AF662" s="4">
        <v>1</v>
      </c>
      <c r="AG662" s="4">
        <v>0</v>
      </c>
      <c r="AH662" s="4">
        <v>0</v>
      </c>
      <c r="AI662" s="4">
        <v>0</v>
      </c>
      <c r="AJ662" s="4"/>
      <c r="AK662" s="4"/>
      <c r="AL662" s="4"/>
      <c r="AM662" s="4"/>
      <c r="AN662" s="4"/>
      <c r="AO662" s="4"/>
    </row>
    <row r="663" spans="1:41" hidden="1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41" hidden="1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41" hidden="1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41" x14ac:dyDescent="0.3">
      <c r="A666" s="4">
        <v>36</v>
      </c>
      <c r="B666" s="4" t="s">
        <v>43</v>
      </c>
      <c r="C666" s="4" t="s">
        <v>36</v>
      </c>
      <c r="D666" s="4">
        <v>1425</v>
      </c>
      <c r="E666" s="4" t="s">
        <v>45</v>
      </c>
      <c r="F666" s="4">
        <v>14</v>
      </c>
      <c r="G666" s="4">
        <v>1</v>
      </c>
      <c r="H666" s="4" t="s">
        <v>38</v>
      </c>
      <c r="I666" s="4">
        <v>1</v>
      </c>
      <c r="J666" s="4">
        <v>924</v>
      </c>
      <c r="K666" s="4">
        <v>3</v>
      </c>
      <c r="L666" s="4" t="s">
        <v>46</v>
      </c>
      <c r="M666" s="4">
        <v>68</v>
      </c>
      <c r="N666" s="4">
        <v>3</v>
      </c>
      <c r="O666" s="4">
        <v>2</v>
      </c>
      <c r="P666" s="4" t="s">
        <v>54</v>
      </c>
      <c r="Q666" s="4">
        <v>4</v>
      </c>
      <c r="R666" s="4" t="s">
        <v>48</v>
      </c>
      <c r="S666" s="4">
        <v>6586</v>
      </c>
      <c r="T666" s="4">
        <v>4821</v>
      </c>
      <c r="U666" s="4">
        <v>0</v>
      </c>
      <c r="V666" s="4" t="s">
        <v>42</v>
      </c>
      <c r="W666" s="4" t="s">
        <v>35</v>
      </c>
      <c r="X666" s="4">
        <v>17</v>
      </c>
      <c r="Y666" s="4">
        <v>3</v>
      </c>
      <c r="Z666" s="4">
        <v>1</v>
      </c>
      <c r="AA666" s="4">
        <v>80</v>
      </c>
      <c r="AB666" s="4">
        <v>1</v>
      </c>
      <c r="AC666" s="4">
        <v>17</v>
      </c>
      <c r="AD666" s="4">
        <v>2</v>
      </c>
      <c r="AE666" s="4">
        <v>2</v>
      </c>
      <c r="AF666" s="4">
        <v>16</v>
      </c>
      <c r="AG666" s="4">
        <v>8</v>
      </c>
      <c r="AH666" s="4">
        <v>4</v>
      </c>
      <c r="AI666" s="4">
        <v>11</v>
      </c>
      <c r="AJ666" s="4"/>
      <c r="AK666" s="4"/>
      <c r="AL666" s="4"/>
      <c r="AM666" s="4"/>
      <c r="AN666" s="4"/>
      <c r="AO666" s="4"/>
    </row>
    <row r="667" spans="1:41" x14ac:dyDescent="0.3">
      <c r="A667" s="4">
        <v>47</v>
      </c>
      <c r="B667" s="4" t="s">
        <v>43</v>
      </c>
      <c r="C667" s="4" t="s">
        <v>36</v>
      </c>
      <c r="D667" s="4">
        <v>1454</v>
      </c>
      <c r="E667" s="4" t="s">
        <v>37</v>
      </c>
      <c r="F667" s="4">
        <v>2</v>
      </c>
      <c r="G667" s="4">
        <v>4</v>
      </c>
      <c r="H667" s="4" t="s">
        <v>38</v>
      </c>
      <c r="I667" s="4">
        <v>1</v>
      </c>
      <c r="J667" s="4">
        <v>925</v>
      </c>
      <c r="K667" s="4">
        <v>4</v>
      </c>
      <c r="L667" s="4" t="s">
        <v>39</v>
      </c>
      <c r="M667" s="4">
        <v>65</v>
      </c>
      <c r="N667" s="4">
        <v>2</v>
      </c>
      <c r="O667" s="4">
        <v>1</v>
      </c>
      <c r="P667" s="4" t="s">
        <v>57</v>
      </c>
      <c r="Q667" s="4">
        <v>4</v>
      </c>
      <c r="R667" s="4" t="s">
        <v>41</v>
      </c>
      <c r="S667" s="4">
        <v>3294</v>
      </c>
      <c r="T667" s="4">
        <v>13137</v>
      </c>
      <c r="U667" s="4">
        <v>1</v>
      </c>
      <c r="V667" s="4" t="s">
        <v>42</v>
      </c>
      <c r="W667" s="4" t="s">
        <v>35</v>
      </c>
      <c r="X667" s="4">
        <v>18</v>
      </c>
      <c r="Y667" s="4">
        <v>3</v>
      </c>
      <c r="Z667" s="4">
        <v>1</v>
      </c>
      <c r="AA667" s="4">
        <v>80</v>
      </c>
      <c r="AB667" s="4">
        <v>0</v>
      </c>
      <c r="AC667" s="4">
        <v>3</v>
      </c>
      <c r="AD667" s="4">
        <v>3</v>
      </c>
      <c r="AE667" s="4">
        <v>2</v>
      </c>
      <c r="AF667" s="4">
        <v>3</v>
      </c>
      <c r="AG667" s="4">
        <v>2</v>
      </c>
      <c r="AH667" s="4">
        <v>1</v>
      </c>
      <c r="AI667" s="4">
        <v>2</v>
      </c>
      <c r="AJ667" s="4"/>
      <c r="AK667" s="4"/>
      <c r="AL667" s="4"/>
      <c r="AM667" s="4"/>
      <c r="AN667" s="4"/>
      <c r="AO667" s="4"/>
    </row>
    <row r="668" spans="1:41" x14ac:dyDescent="0.3">
      <c r="A668" s="4">
        <v>22</v>
      </c>
      <c r="B668" s="4" t="s">
        <v>35</v>
      </c>
      <c r="C668" s="4" t="s">
        <v>36</v>
      </c>
      <c r="D668" s="4">
        <v>617</v>
      </c>
      <c r="E668" s="4" t="s">
        <v>45</v>
      </c>
      <c r="F668" s="4">
        <v>3</v>
      </c>
      <c r="G668" s="4">
        <v>1</v>
      </c>
      <c r="H668" s="4" t="s">
        <v>38</v>
      </c>
      <c r="I668" s="4">
        <v>1</v>
      </c>
      <c r="J668" s="4">
        <v>926</v>
      </c>
      <c r="K668" s="4">
        <v>2</v>
      </c>
      <c r="L668" s="4" t="s">
        <v>39</v>
      </c>
      <c r="M668" s="4">
        <v>34</v>
      </c>
      <c r="N668" s="4">
        <v>3</v>
      </c>
      <c r="O668" s="4">
        <v>2</v>
      </c>
      <c r="P668" s="4" t="s">
        <v>53</v>
      </c>
      <c r="Q668" s="4">
        <v>3</v>
      </c>
      <c r="R668" s="4" t="s">
        <v>48</v>
      </c>
      <c r="S668" s="4">
        <v>4171</v>
      </c>
      <c r="T668" s="4">
        <v>10022</v>
      </c>
      <c r="U668" s="4">
        <v>0</v>
      </c>
      <c r="V668" s="4" t="s">
        <v>42</v>
      </c>
      <c r="W668" s="4" t="s">
        <v>35</v>
      </c>
      <c r="X668" s="4">
        <v>19</v>
      </c>
      <c r="Y668" s="4">
        <v>3</v>
      </c>
      <c r="Z668" s="4">
        <v>1</v>
      </c>
      <c r="AA668" s="4">
        <v>80</v>
      </c>
      <c r="AB668" s="4">
        <v>1</v>
      </c>
      <c r="AC668" s="4">
        <v>4</v>
      </c>
      <c r="AD668" s="4">
        <v>3</v>
      </c>
      <c r="AE668" s="4">
        <v>4</v>
      </c>
      <c r="AF668" s="4">
        <v>3</v>
      </c>
      <c r="AG668" s="4">
        <v>2</v>
      </c>
      <c r="AH668" s="4">
        <v>0</v>
      </c>
      <c r="AI668" s="4">
        <v>2</v>
      </c>
      <c r="AJ668" s="4"/>
      <c r="AK668" s="4"/>
      <c r="AL668" s="4"/>
      <c r="AM668" s="4"/>
      <c r="AN668" s="4"/>
      <c r="AO668" s="4"/>
    </row>
    <row r="669" spans="1:41" x14ac:dyDescent="0.3">
      <c r="A669" s="4">
        <v>41</v>
      </c>
      <c r="B669" s="4" t="s">
        <v>35</v>
      </c>
      <c r="C669" s="4" t="s">
        <v>36</v>
      </c>
      <c r="D669" s="4">
        <v>1085</v>
      </c>
      <c r="E669" s="4" t="s">
        <v>45</v>
      </c>
      <c r="F669" s="4">
        <v>2</v>
      </c>
      <c r="G669" s="4">
        <v>4</v>
      </c>
      <c r="H669" s="4" t="s">
        <v>38</v>
      </c>
      <c r="I669" s="4">
        <v>1</v>
      </c>
      <c r="J669" s="4">
        <v>927</v>
      </c>
      <c r="K669" s="4">
        <v>2</v>
      </c>
      <c r="L669" s="4" t="s">
        <v>39</v>
      </c>
      <c r="M669" s="4">
        <v>57</v>
      </c>
      <c r="N669" s="4">
        <v>1</v>
      </c>
      <c r="O669" s="4">
        <v>1</v>
      </c>
      <c r="P669" s="4" t="s">
        <v>50</v>
      </c>
      <c r="Q669" s="4">
        <v>4</v>
      </c>
      <c r="R669" s="4" t="s">
        <v>52</v>
      </c>
      <c r="S669" s="4">
        <v>2778</v>
      </c>
      <c r="T669" s="4">
        <v>17725</v>
      </c>
      <c r="U669" s="4">
        <v>4</v>
      </c>
      <c r="V669" s="4" t="s">
        <v>42</v>
      </c>
      <c r="W669" s="4" t="s">
        <v>35</v>
      </c>
      <c r="X669" s="4">
        <v>13</v>
      </c>
      <c r="Y669" s="4">
        <v>3</v>
      </c>
      <c r="Z669" s="4">
        <v>3</v>
      </c>
      <c r="AA669" s="4">
        <v>80</v>
      </c>
      <c r="AB669" s="4">
        <v>1</v>
      </c>
      <c r="AC669" s="4">
        <v>10</v>
      </c>
      <c r="AD669" s="4">
        <v>1</v>
      </c>
      <c r="AE669" s="4">
        <v>2</v>
      </c>
      <c r="AF669" s="4">
        <v>7</v>
      </c>
      <c r="AG669" s="4">
        <v>7</v>
      </c>
      <c r="AH669" s="4">
        <v>1</v>
      </c>
      <c r="AI669" s="4">
        <v>0</v>
      </c>
      <c r="AJ669" s="4"/>
      <c r="AK669" s="4"/>
      <c r="AL669" s="4"/>
      <c r="AM669" s="4"/>
      <c r="AN669" s="4"/>
      <c r="AO669" s="4"/>
    </row>
    <row r="670" spans="1:41" hidden="1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41" x14ac:dyDescent="0.3">
      <c r="A671" s="4">
        <v>39</v>
      </c>
      <c r="B671" s="4" t="s">
        <v>35</v>
      </c>
      <c r="C671" s="4" t="s">
        <v>36</v>
      </c>
      <c r="D671" s="4">
        <v>1122</v>
      </c>
      <c r="E671" s="4" t="s">
        <v>45</v>
      </c>
      <c r="F671" s="4">
        <v>6</v>
      </c>
      <c r="G671" s="4">
        <v>3</v>
      </c>
      <c r="H671" s="4" t="s">
        <v>51</v>
      </c>
      <c r="I671" s="4">
        <v>1</v>
      </c>
      <c r="J671" s="4">
        <v>932</v>
      </c>
      <c r="K671" s="4">
        <v>4</v>
      </c>
      <c r="L671" s="4" t="s">
        <v>46</v>
      </c>
      <c r="M671" s="4">
        <v>70</v>
      </c>
      <c r="N671" s="4">
        <v>3</v>
      </c>
      <c r="O671" s="4">
        <v>1</v>
      </c>
      <c r="P671" s="4" t="s">
        <v>50</v>
      </c>
      <c r="Q671" s="4">
        <v>1</v>
      </c>
      <c r="R671" s="4" t="s">
        <v>48</v>
      </c>
      <c r="S671" s="4">
        <v>2404</v>
      </c>
      <c r="T671" s="4">
        <v>4303</v>
      </c>
      <c r="U671" s="4">
        <v>7</v>
      </c>
      <c r="V671" s="4" t="s">
        <v>42</v>
      </c>
      <c r="W671" s="4" t="s">
        <v>35</v>
      </c>
      <c r="X671" s="4">
        <v>21</v>
      </c>
      <c r="Y671" s="4">
        <v>4</v>
      </c>
      <c r="Z671" s="4">
        <v>4</v>
      </c>
      <c r="AA671" s="4">
        <v>80</v>
      </c>
      <c r="AB671" s="4">
        <v>0</v>
      </c>
      <c r="AC671" s="4">
        <v>8</v>
      </c>
      <c r="AD671" s="4">
        <v>2</v>
      </c>
      <c r="AE671" s="4">
        <v>1</v>
      </c>
      <c r="AF671" s="4">
        <v>2</v>
      </c>
      <c r="AG671" s="4">
        <v>2</v>
      </c>
      <c r="AH671" s="4">
        <v>2</v>
      </c>
      <c r="AI671" s="4">
        <v>2</v>
      </c>
      <c r="AJ671" s="4"/>
      <c r="AK671" s="4"/>
      <c r="AL671" s="4"/>
      <c r="AM671" s="4"/>
      <c r="AN671" s="4"/>
      <c r="AO671" s="4"/>
    </row>
    <row r="672" spans="1:41" hidden="1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41" hidden="1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41" hidden="1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41" x14ac:dyDescent="0.3">
      <c r="A675" s="4">
        <v>33</v>
      </c>
      <c r="B675" s="4" t="s">
        <v>43</v>
      </c>
      <c r="C675" s="4" t="s">
        <v>36</v>
      </c>
      <c r="D675" s="4">
        <v>1198</v>
      </c>
      <c r="E675" s="4" t="s">
        <v>45</v>
      </c>
      <c r="F675" s="4">
        <v>1</v>
      </c>
      <c r="G675" s="4">
        <v>4</v>
      </c>
      <c r="H675" s="4" t="s">
        <v>49</v>
      </c>
      <c r="I675" s="4">
        <v>1</v>
      </c>
      <c r="J675" s="4">
        <v>939</v>
      </c>
      <c r="K675" s="4">
        <v>3</v>
      </c>
      <c r="L675" s="4" t="s">
        <v>46</v>
      </c>
      <c r="M675" s="4">
        <v>100</v>
      </c>
      <c r="N675" s="4">
        <v>2</v>
      </c>
      <c r="O675" s="4">
        <v>1</v>
      </c>
      <c r="P675" s="4" t="s">
        <v>47</v>
      </c>
      <c r="Q675" s="4">
        <v>1</v>
      </c>
      <c r="R675" s="4" t="s">
        <v>41</v>
      </c>
      <c r="S675" s="4">
        <v>2799</v>
      </c>
      <c r="T675" s="4">
        <v>3339</v>
      </c>
      <c r="U675" s="4">
        <v>3</v>
      </c>
      <c r="V675" s="4" t="s">
        <v>42</v>
      </c>
      <c r="W675" s="4" t="s">
        <v>35</v>
      </c>
      <c r="X675" s="4">
        <v>11</v>
      </c>
      <c r="Y675" s="4">
        <v>3</v>
      </c>
      <c r="Z675" s="4">
        <v>2</v>
      </c>
      <c r="AA675" s="4">
        <v>80</v>
      </c>
      <c r="AB675" s="4">
        <v>0</v>
      </c>
      <c r="AC675" s="4">
        <v>6</v>
      </c>
      <c r="AD675" s="4">
        <v>1</v>
      </c>
      <c r="AE675" s="4">
        <v>3</v>
      </c>
      <c r="AF675" s="4">
        <v>3</v>
      </c>
      <c r="AG675" s="4">
        <v>2</v>
      </c>
      <c r="AH675" s="4">
        <v>0</v>
      </c>
      <c r="AI675" s="4">
        <v>2</v>
      </c>
      <c r="AJ675" s="4"/>
      <c r="AK675" s="4"/>
      <c r="AL675" s="4"/>
      <c r="AM675" s="4"/>
      <c r="AN675" s="4"/>
      <c r="AO675" s="4"/>
    </row>
    <row r="676" spans="1:41" x14ac:dyDescent="0.3">
      <c r="A676" s="4">
        <v>58</v>
      </c>
      <c r="B676" s="4" t="s">
        <v>43</v>
      </c>
      <c r="C676" s="4" t="s">
        <v>36</v>
      </c>
      <c r="D676" s="4">
        <v>1272</v>
      </c>
      <c r="E676" s="4" t="s">
        <v>45</v>
      </c>
      <c r="F676" s="4">
        <v>5</v>
      </c>
      <c r="G676" s="4">
        <v>3</v>
      </c>
      <c r="H676" s="4" t="s">
        <v>60</v>
      </c>
      <c r="I676" s="4">
        <v>1</v>
      </c>
      <c r="J676" s="4">
        <v>940</v>
      </c>
      <c r="K676" s="4">
        <v>3</v>
      </c>
      <c r="L676" s="4" t="s">
        <v>39</v>
      </c>
      <c r="M676" s="4">
        <v>37</v>
      </c>
      <c r="N676" s="4">
        <v>2</v>
      </c>
      <c r="O676" s="4">
        <v>3</v>
      </c>
      <c r="P676" s="4" t="s">
        <v>54</v>
      </c>
      <c r="Q676" s="4">
        <v>2</v>
      </c>
      <c r="R676" s="4" t="s">
        <v>52</v>
      </c>
      <c r="S676" s="4">
        <v>10552</v>
      </c>
      <c r="T676" s="4">
        <v>9255</v>
      </c>
      <c r="U676" s="4">
        <v>2</v>
      </c>
      <c r="V676" s="4" t="s">
        <v>42</v>
      </c>
      <c r="W676" s="4" t="s">
        <v>35</v>
      </c>
      <c r="X676" s="4">
        <v>13</v>
      </c>
      <c r="Y676" s="4">
        <v>3</v>
      </c>
      <c r="Z676" s="4">
        <v>4</v>
      </c>
      <c r="AA676" s="4">
        <v>80</v>
      </c>
      <c r="AB676" s="4">
        <v>1</v>
      </c>
      <c r="AC676" s="4">
        <v>24</v>
      </c>
      <c r="AD676" s="4">
        <v>3</v>
      </c>
      <c r="AE676" s="4">
        <v>3</v>
      </c>
      <c r="AF676" s="4">
        <v>6</v>
      </c>
      <c r="AG676" s="4">
        <v>0</v>
      </c>
      <c r="AH676" s="4">
        <v>0</v>
      </c>
      <c r="AI676" s="4">
        <v>4</v>
      </c>
      <c r="AJ676" s="4"/>
      <c r="AK676" s="4"/>
      <c r="AL676" s="4"/>
      <c r="AM676" s="4"/>
      <c r="AN676" s="4"/>
      <c r="AO676" s="4"/>
    </row>
    <row r="677" spans="1:41" hidden="1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41" x14ac:dyDescent="0.3">
      <c r="A678" s="4">
        <v>35</v>
      </c>
      <c r="B678" s="4" t="s">
        <v>43</v>
      </c>
      <c r="C678" s="4" t="s">
        <v>36</v>
      </c>
      <c r="D678" s="4">
        <v>1137</v>
      </c>
      <c r="E678" s="4" t="s">
        <v>45</v>
      </c>
      <c r="F678" s="4">
        <v>21</v>
      </c>
      <c r="G678" s="4">
        <v>1</v>
      </c>
      <c r="H678" s="4" t="s">
        <v>38</v>
      </c>
      <c r="I678" s="4">
        <v>1</v>
      </c>
      <c r="J678" s="4">
        <v>942</v>
      </c>
      <c r="K678" s="4">
        <v>4</v>
      </c>
      <c r="L678" s="4" t="s">
        <v>39</v>
      </c>
      <c r="M678" s="4">
        <v>51</v>
      </c>
      <c r="N678" s="4">
        <v>3</v>
      </c>
      <c r="O678" s="4">
        <v>2</v>
      </c>
      <c r="P678" s="4" t="s">
        <v>54</v>
      </c>
      <c r="Q678" s="4">
        <v>4</v>
      </c>
      <c r="R678" s="4" t="s">
        <v>48</v>
      </c>
      <c r="S678" s="4">
        <v>4014</v>
      </c>
      <c r="T678" s="4">
        <v>19170</v>
      </c>
      <c r="U678" s="4">
        <v>1</v>
      </c>
      <c r="V678" s="4" t="s">
        <v>42</v>
      </c>
      <c r="W678" s="4" t="s">
        <v>35</v>
      </c>
      <c r="X678" s="4">
        <v>25</v>
      </c>
      <c r="Y678" s="4">
        <v>4</v>
      </c>
      <c r="Z678" s="4">
        <v>4</v>
      </c>
      <c r="AA678" s="4">
        <v>80</v>
      </c>
      <c r="AB678" s="4">
        <v>1</v>
      </c>
      <c r="AC678" s="4">
        <v>10</v>
      </c>
      <c r="AD678" s="4">
        <v>2</v>
      </c>
      <c r="AE678" s="4">
        <v>1</v>
      </c>
      <c r="AF678" s="4">
        <v>10</v>
      </c>
      <c r="AG678" s="4">
        <v>6</v>
      </c>
      <c r="AH678" s="4">
        <v>0</v>
      </c>
      <c r="AI678" s="4">
        <v>7</v>
      </c>
      <c r="AJ678" s="4"/>
      <c r="AK678" s="4"/>
      <c r="AL678" s="4"/>
      <c r="AM678" s="4"/>
      <c r="AN678" s="4"/>
      <c r="AO678" s="4"/>
    </row>
    <row r="679" spans="1:41" hidden="1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41" hidden="1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41" hidden="1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41" hidden="1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41" hidden="1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41" hidden="1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41" x14ac:dyDescent="0.3">
      <c r="A685" s="4">
        <v>25</v>
      </c>
      <c r="B685" s="4" t="s">
        <v>35</v>
      </c>
      <c r="C685" s="4" t="s">
        <v>36</v>
      </c>
      <c r="D685" s="4">
        <v>867</v>
      </c>
      <c r="E685" s="4" t="s">
        <v>37</v>
      </c>
      <c r="F685" s="4">
        <v>19</v>
      </c>
      <c r="G685" s="4">
        <v>2</v>
      </c>
      <c r="H685" s="4" t="s">
        <v>59</v>
      </c>
      <c r="I685" s="4">
        <v>1</v>
      </c>
      <c r="J685" s="4">
        <v>952</v>
      </c>
      <c r="K685" s="4">
        <v>3</v>
      </c>
      <c r="L685" s="4" t="s">
        <v>46</v>
      </c>
      <c r="M685" s="4">
        <v>36</v>
      </c>
      <c r="N685" s="4">
        <v>2</v>
      </c>
      <c r="O685" s="4">
        <v>1</v>
      </c>
      <c r="P685" s="4" t="s">
        <v>57</v>
      </c>
      <c r="Q685" s="4">
        <v>2</v>
      </c>
      <c r="R685" s="4" t="s">
        <v>48</v>
      </c>
      <c r="S685" s="4">
        <v>2413</v>
      </c>
      <c r="T685" s="4">
        <v>18798</v>
      </c>
      <c r="U685" s="4">
        <v>1</v>
      </c>
      <c r="V685" s="4" t="s">
        <v>42</v>
      </c>
      <c r="W685" s="4" t="s">
        <v>35</v>
      </c>
      <c r="X685" s="4">
        <v>18</v>
      </c>
      <c r="Y685" s="4">
        <v>3</v>
      </c>
      <c r="Z685" s="4">
        <v>3</v>
      </c>
      <c r="AA685" s="4">
        <v>80</v>
      </c>
      <c r="AB685" s="4">
        <v>3</v>
      </c>
      <c r="AC685" s="4">
        <v>1</v>
      </c>
      <c r="AD685" s="4">
        <v>2</v>
      </c>
      <c r="AE685" s="4">
        <v>3</v>
      </c>
      <c r="AF685" s="4">
        <v>1</v>
      </c>
      <c r="AG685" s="4">
        <v>0</v>
      </c>
      <c r="AH685" s="4">
        <v>0</v>
      </c>
      <c r="AI685" s="4">
        <v>0</v>
      </c>
      <c r="AJ685" s="4"/>
      <c r="AK685" s="4"/>
      <c r="AL685" s="4"/>
      <c r="AM685" s="4"/>
      <c r="AN685" s="4"/>
      <c r="AO685" s="4"/>
    </row>
    <row r="686" spans="1:41" hidden="1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41" hidden="1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41" x14ac:dyDescent="0.3">
      <c r="A688" s="4">
        <v>41</v>
      </c>
      <c r="B688" s="4" t="s">
        <v>43</v>
      </c>
      <c r="C688" s="4" t="s">
        <v>36</v>
      </c>
      <c r="D688" s="4">
        <v>263</v>
      </c>
      <c r="E688" s="4" t="s">
        <v>45</v>
      </c>
      <c r="F688" s="4">
        <v>6</v>
      </c>
      <c r="G688" s="4">
        <v>3</v>
      </c>
      <c r="H688" s="4" t="s">
        <v>51</v>
      </c>
      <c r="I688" s="4">
        <v>1</v>
      </c>
      <c r="J688" s="4">
        <v>957</v>
      </c>
      <c r="K688" s="4">
        <v>4</v>
      </c>
      <c r="L688" s="4" t="s">
        <v>46</v>
      </c>
      <c r="M688" s="4">
        <v>59</v>
      </c>
      <c r="N688" s="4">
        <v>3</v>
      </c>
      <c r="O688" s="4">
        <v>1</v>
      </c>
      <c r="P688" s="4" t="s">
        <v>50</v>
      </c>
      <c r="Q688" s="4">
        <v>1</v>
      </c>
      <c r="R688" s="4" t="s">
        <v>41</v>
      </c>
      <c r="S688" s="4">
        <v>4721</v>
      </c>
      <c r="T688" s="4">
        <v>3119</v>
      </c>
      <c r="U688" s="4">
        <v>2</v>
      </c>
      <c r="V688" s="4" t="s">
        <v>42</v>
      </c>
      <c r="W688" s="4" t="s">
        <v>35</v>
      </c>
      <c r="X688" s="4">
        <v>13</v>
      </c>
      <c r="Y688" s="4">
        <v>3</v>
      </c>
      <c r="Z688" s="4">
        <v>3</v>
      </c>
      <c r="AA688" s="4">
        <v>80</v>
      </c>
      <c r="AB688" s="4">
        <v>0</v>
      </c>
      <c r="AC688" s="4">
        <v>20</v>
      </c>
      <c r="AD688" s="4">
        <v>3</v>
      </c>
      <c r="AE688" s="4">
        <v>3</v>
      </c>
      <c r="AF688" s="4">
        <v>18</v>
      </c>
      <c r="AG688" s="4">
        <v>13</v>
      </c>
      <c r="AH688" s="4">
        <v>2</v>
      </c>
      <c r="AI688" s="4">
        <v>17</v>
      </c>
      <c r="AJ688" s="4"/>
      <c r="AK688" s="4"/>
      <c r="AL688" s="4"/>
      <c r="AM688" s="4"/>
      <c r="AN688" s="4"/>
      <c r="AO688" s="4"/>
    </row>
    <row r="689" spans="1:41" hidden="1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41" x14ac:dyDescent="0.3">
      <c r="A690" s="4">
        <v>19</v>
      </c>
      <c r="B690" s="4" t="s">
        <v>35</v>
      </c>
      <c r="C690" s="4" t="s">
        <v>36</v>
      </c>
      <c r="D690" s="4">
        <v>419</v>
      </c>
      <c r="E690" s="4" t="s">
        <v>37</v>
      </c>
      <c r="F690" s="4">
        <v>21</v>
      </c>
      <c r="G690" s="4">
        <v>3</v>
      </c>
      <c r="H690" s="4" t="s">
        <v>49</v>
      </c>
      <c r="I690" s="4">
        <v>1</v>
      </c>
      <c r="J690" s="4">
        <v>959</v>
      </c>
      <c r="K690" s="4">
        <v>4</v>
      </c>
      <c r="L690" s="4" t="s">
        <v>46</v>
      </c>
      <c r="M690" s="4">
        <v>37</v>
      </c>
      <c r="N690" s="4">
        <v>2</v>
      </c>
      <c r="O690" s="4">
        <v>1</v>
      </c>
      <c r="P690" s="4" t="s">
        <v>57</v>
      </c>
      <c r="Q690" s="4">
        <v>2</v>
      </c>
      <c r="R690" s="4" t="s">
        <v>41</v>
      </c>
      <c r="S690" s="4">
        <v>2121</v>
      </c>
      <c r="T690" s="4">
        <v>9947</v>
      </c>
      <c r="U690" s="4">
        <v>1</v>
      </c>
      <c r="V690" s="4" t="s">
        <v>42</v>
      </c>
      <c r="W690" s="4" t="s">
        <v>35</v>
      </c>
      <c r="X690" s="4">
        <v>13</v>
      </c>
      <c r="Y690" s="4">
        <v>3</v>
      </c>
      <c r="Z690" s="4">
        <v>2</v>
      </c>
      <c r="AA690" s="4">
        <v>80</v>
      </c>
      <c r="AB690" s="4">
        <v>0</v>
      </c>
      <c r="AC690" s="4">
        <v>1</v>
      </c>
      <c r="AD690" s="4">
        <v>3</v>
      </c>
      <c r="AE690" s="4">
        <v>4</v>
      </c>
      <c r="AF690" s="4">
        <v>1</v>
      </c>
      <c r="AG690" s="4">
        <v>0</v>
      </c>
      <c r="AH690" s="4">
        <v>0</v>
      </c>
      <c r="AI690" s="4">
        <v>0</v>
      </c>
      <c r="AJ690" s="4"/>
      <c r="AK690" s="4"/>
      <c r="AL690" s="4"/>
      <c r="AM690" s="4"/>
      <c r="AN690" s="4"/>
      <c r="AO690" s="4"/>
    </row>
    <row r="691" spans="1:41" hidden="1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41" x14ac:dyDescent="0.3">
      <c r="A692" s="4">
        <v>31</v>
      </c>
      <c r="B692" s="4" t="s">
        <v>43</v>
      </c>
      <c r="C692" s="4" t="s">
        <v>36</v>
      </c>
      <c r="D692" s="4">
        <v>616</v>
      </c>
      <c r="E692" s="4" t="s">
        <v>45</v>
      </c>
      <c r="F692" s="4">
        <v>12</v>
      </c>
      <c r="G692" s="4">
        <v>3</v>
      </c>
      <c r="H692" s="4" t="s">
        <v>51</v>
      </c>
      <c r="I692" s="4">
        <v>1</v>
      </c>
      <c r="J692" s="4">
        <v>961</v>
      </c>
      <c r="K692" s="4">
        <v>4</v>
      </c>
      <c r="L692" s="4" t="s">
        <v>39</v>
      </c>
      <c r="M692" s="4">
        <v>41</v>
      </c>
      <c r="N692" s="4">
        <v>3</v>
      </c>
      <c r="O692" s="4">
        <v>2</v>
      </c>
      <c r="P692" s="4" t="s">
        <v>54</v>
      </c>
      <c r="Q692" s="4">
        <v>4</v>
      </c>
      <c r="R692" s="4" t="s">
        <v>48</v>
      </c>
      <c r="S692" s="4">
        <v>5855</v>
      </c>
      <c r="T692" s="4">
        <v>17369</v>
      </c>
      <c r="U692" s="4">
        <v>0</v>
      </c>
      <c r="V692" s="4" t="s">
        <v>42</v>
      </c>
      <c r="W692" s="4" t="s">
        <v>35</v>
      </c>
      <c r="X692" s="4">
        <v>11</v>
      </c>
      <c r="Y692" s="4">
        <v>3</v>
      </c>
      <c r="Z692" s="4">
        <v>3</v>
      </c>
      <c r="AA692" s="4">
        <v>80</v>
      </c>
      <c r="AB692" s="4">
        <v>2</v>
      </c>
      <c r="AC692" s="4">
        <v>10</v>
      </c>
      <c r="AD692" s="4">
        <v>2</v>
      </c>
      <c r="AE692" s="4">
        <v>1</v>
      </c>
      <c r="AF692" s="4">
        <v>9</v>
      </c>
      <c r="AG692" s="4">
        <v>7</v>
      </c>
      <c r="AH692" s="4">
        <v>8</v>
      </c>
      <c r="AI692" s="4">
        <v>5</v>
      </c>
      <c r="AJ692" s="4"/>
      <c r="AK692" s="4"/>
      <c r="AL692" s="4"/>
      <c r="AM692" s="4"/>
      <c r="AN692" s="4"/>
      <c r="AO692" s="4"/>
    </row>
    <row r="693" spans="1:41" x14ac:dyDescent="0.3">
      <c r="A693" s="4">
        <v>40</v>
      </c>
      <c r="B693" s="4" t="s">
        <v>43</v>
      </c>
      <c r="C693" s="4" t="s">
        <v>44</v>
      </c>
      <c r="D693" s="4">
        <v>1469</v>
      </c>
      <c r="E693" s="4" t="s">
        <v>45</v>
      </c>
      <c r="F693" s="4">
        <v>9</v>
      </c>
      <c r="G693" s="4">
        <v>4</v>
      </c>
      <c r="H693" s="4" t="s">
        <v>51</v>
      </c>
      <c r="I693" s="4">
        <v>1</v>
      </c>
      <c r="J693" s="4">
        <v>964</v>
      </c>
      <c r="K693" s="4">
        <v>4</v>
      </c>
      <c r="L693" s="4" t="s">
        <v>46</v>
      </c>
      <c r="M693" s="4">
        <v>35</v>
      </c>
      <c r="N693" s="4">
        <v>3</v>
      </c>
      <c r="O693" s="4">
        <v>1</v>
      </c>
      <c r="P693" s="4" t="s">
        <v>47</v>
      </c>
      <c r="Q693" s="4">
        <v>2</v>
      </c>
      <c r="R693" s="4" t="s">
        <v>52</v>
      </c>
      <c r="S693" s="4">
        <v>3617</v>
      </c>
      <c r="T693" s="4">
        <v>25063</v>
      </c>
      <c r="U693" s="4">
        <v>8</v>
      </c>
      <c r="V693" s="4" t="s">
        <v>42</v>
      </c>
      <c r="W693" s="4" t="s">
        <v>35</v>
      </c>
      <c r="X693" s="4">
        <v>14</v>
      </c>
      <c r="Y693" s="4">
        <v>3</v>
      </c>
      <c r="Z693" s="4">
        <v>4</v>
      </c>
      <c r="AA693" s="4">
        <v>80</v>
      </c>
      <c r="AB693" s="4">
        <v>1</v>
      </c>
      <c r="AC693" s="4">
        <v>3</v>
      </c>
      <c r="AD693" s="4">
        <v>2</v>
      </c>
      <c r="AE693" s="4">
        <v>3</v>
      </c>
      <c r="AF693" s="4">
        <v>1</v>
      </c>
      <c r="AG693" s="4">
        <v>1</v>
      </c>
      <c r="AH693" s="4">
        <v>0</v>
      </c>
      <c r="AI693" s="4">
        <v>0</v>
      </c>
      <c r="AJ693" s="4"/>
      <c r="AK693" s="4"/>
      <c r="AL693" s="4"/>
      <c r="AM693" s="4"/>
      <c r="AN693" s="4"/>
      <c r="AO693" s="4"/>
    </row>
    <row r="694" spans="1:41" hidden="1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41" x14ac:dyDescent="0.3">
      <c r="A695" s="4">
        <v>36</v>
      </c>
      <c r="B695" s="4" t="s">
        <v>35</v>
      </c>
      <c r="C695" s="4" t="s">
        <v>36</v>
      </c>
      <c r="D695" s="4">
        <v>530</v>
      </c>
      <c r="E695" s="4" t="s">
        <v>37</v>
      </c>
      <c r="F695" s="4">
        <v>3</v>
      </c>
      <c r="G695" s="4">
        <v>1</v>
      </c>
      <c r="H695" s="4" t="s">
        <v>38</v>
      </c>
      <c r="I695" s="4">
        <v>1</v>
      </c>
      <c r="J695" s="4">
        <v>967</v>
      </c>
      <c r="K695" s="4">
        <v>3</v>
      </c>
      <c r="L695" s="4" t="s">
        <v>46</v>
      </c>
      <c r="M695" s="4">
        <v>51</v>
      </c>
      <c r="N695" s="4">
        <v>2</v>
      </c>
      <c r="O695" s="4">
        <v>3</v>
      </c>
      <c r="P695" s="4" t="s">
        <v>40</v>
      </c>
      <c r="Q695" s="4">
        <v>4</v>
      </c>
      <c r="R695" s="4" t="s">
        <v>48</v>
      </c>
      <c r="S695" s="4">
        <v>10325</v>
      </c>
      <c r="T695" s="4">
        <v>5518</v>
      </c>
      <c r="U695" s="4">
        <v>1</v>
      </c>
      <c r="V695" s="4" t="s">
        <v>42</v>
      </c>
      <c r="W695" s="4" t="s">
        <v>35</v>
      </c>
      <c r="X695" s="4">
        <v>11</v>
      </c>
      <c r="Y695" s="4">
        <v>3</v>
      </c>
      <c r="Z695" s="4">
        <v>1</v>
      </c>
      <c r="AA695" s="4">
        <v>80</v>
      </c>
      <c r="AB695" s="4">
        <v>1</v>
      </c>
      <c r="AC695" s="4">
        <v>16</v>
      </c>
      <c r="AD695" s="4">
        <v>6</v>
      </c>
      <c r="AE695" s="4">
        <v>3</v>
      </c>
      <c r="AF695" s="4">
        <v>16</v>
      </c>
      <c r="AG695" s="4">
        <v>7</v>
      </c>
      <c r="AH695" s="4">
        <v>3</v>
      </c>
      <c r="AI695" s="4">
        <v>7</v>
      </c>
      <c r="AJ695" s="4"/>
      <c r="AK695" s="4"/>
      <c r="AL695" s="4"/>
      <c r="AM695" s="4"/>
      <c r="AN695" s="4"/>
      <c r="AO695" s="4"/>
    </row>
    <row r="696" spans="1:41" hidden="1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41" hidden="1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41" hidden="1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41" hidden="1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41" hidden="1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41" hidden="1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41" hidden="1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41" hidden="1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41" hidden="1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41" x14ac:dyDescent="0.3">
      <c r="A705" s="4">
        <v>38</v>
      </c>
      <c r="B705" s="4" t="s">
        <v>43</v>
      </c>
      <c r="C705" s="4" t="s">
        <v>55</v>
      </c>
      <c r="D705" s="4">
        <v>152</v>
      </c>
      <c r="E705" s="4" t="s">
        <v>37</v>
      </c>
      <c r="F705" s="4">
        <v>10</v>
      </c>
      <c r="G705" s="4">
        <v>3</v>
      </c>
      <c r="H705" s="4" t="s">
        <v>60</v>
      </c>
      <c r="I705" s="4">
        <v>1</v>
      </c>
      <c r="J705" s="4">
        <v>983</v>
      </c>
      <c r="K705" s="4">
        <v>3</v>
      </c>
      <c r="L705" s="4" t="s">
        <v>39</v>
      </c>
      <c r="M705" s="4">
        <v>85</v>
      </c>
      <c r="N705" s="4">
        <v>3</v>
      </c>
      <c r="O705" s="4">
        <v>2</v>
      </c>
      <c r="P705" s="4" t="s">
        <v>40</v>
      </c>
      <c r="Q705" s="4">
        <v>4</v>
      </c>
      <c r="R705" s="4" t="s">
        <v>41</v>
      </c>
      <c r="S705" s="4">
        <v>5666</v>
      </c>
      <c r="T705" s="4">
        <v>19899</v>
      </c>
      <c r="U705" s="4">
        <v>1</v>
      </c>
      <c r="V705" s="4" t="s">
        <v>42</v>
      </c>
      <c r="W705" s="4" t="s">
        <v>35</v>
      </c>
      <c r="X705" s="4">
        <v>13</v>
      </c>
      <c r="Y705" s="4">
        <v>3</v>
      </c>
      <c r="Z705" s="4">
        <v>2</v>
      </c>
      <c r="AA705" s="4">
        <v>80</v>
      </c>
      <c r="AB705" s="4">
        <v>0</v>
      </c>
      <c r="AC705" s="4">
        <v>6</v>
      </c>
      <c r="AD705" s="4">
        <v>1</v>
      </c>
      <c r="AE705" s="4">
        <v>3</v>
      </c>
      <c r="AF705" s="4">
        <v>5</v>
      </c>
      <c r="AG705" s="4">
        <v>3</v>
      </c>
      <c r="AH705" s="4">
        <v>1</v>
      </c>
      <c r="AI705" s="4">
        <v>3</v>
      </c>
      <c r="AJ705" s="4"/>
      <c r="AK705" s="4"/>
      <c r="AL705" s="4"/>
      <c r="AM705" s="4"/>
      <c r="AN705" s="4"/>
      <c r="AO705" s="4"/>
    </row>
    <row r="706" spans="1:41" hidden="1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41" hidden="1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41" x14ac:dyDescent="0.3">
      <c r="A708" s="4">
        <v>40</v>
      </c>
      <c r="B708" s="4" t="s">
        <v>35</v>
      </c>
      <c r="C708" s="4" t="s">
        <v>55</v>
      </c>
      <c r="D708" s="4">
        <v>1479</v>
      </c>
      <c r="E708" s="4" t="s">
        <v>37</v>
      </c>
      <c r="F708" s="4">
        <v>24</v>
      </c>
      <c r="G708" s="4">
        <v>3</v>
      </c>
      <c r="H708" s="4" t="s">
        <v>38</v>
      </c>
      <c r="I708" s="4">
        <v>1</v>
      </c>
      <c r="J708" s="4">
        <v>986</v>
      </c>
      <c r="K708" s="4">
        <v>2</v>
      </c>
      <c r="L708" s="4" t="s">
        <v>39</v>
      </c>
      <c r="M708" s="4">
        <v>100</v>
      </c>
      <c r="N708" s="4">
        <v>4</v>
      </c>
      <c r="O708" s="4">
        <v>4</v>
      </c>
      <c r="P708" s="4" t="s">
        <v>40</v>
      </c>
      <c r="Q708" s="4">
        <v>2</v>
      </c>
      <c r="R708" s="4" t="s">
        <v>41</v>
      </c>
      <c r="S708" s="4">
        <v>13194</v>
      </c>
      <c r="T708" s="4">
        <v>17071</v>
      </c>
      <c r="U708" s="4">
        <v>4</v>
      </c>
      <c r="V708" s="4" t="s">
        <v>42</v>
      </c>
      <c r="W708" s="4" t="s">
        <v>35</v>
      </c>
      <c r="X708" s="4">
        <v>16</v>
      </c>
      <c r="Y708" s="4">
        <v>3</v>
      </c>
      <c r="Z708" s="4">
        <v>4</v>
      </c>
      <c r="AA708" s="4">
        <v>80</v>
      </c>
      <c r="AB708" s="4">
        <v>0</v>
      </c>
      <c r="AC708" s="4">
        <v>22</v>
      </c>
      <c r="AD708" s="4">
        <v>2</v>
      </c>
      <c r="AE708" s="4">
        <v>2</v>
      </c>
      <c r="AF708" s="4">
        <v>1</v>
      </c>
      <c r="AG708" s="4">
        <v>0</v>
      </c>
      <c r="AH708" s="4">
        <v>0</v>
      </c>
      <c r="AI708" s="4">
        <v>0</v>
      </c>
      <c r="AJ708" s="4"/>
      <c r="AK708" s="4"/>
      <c r="AL708" s="4"/>
      <c r="AM708" s="4"/>
      <c r="AN708" s="4"/>
      <c r="AO708" s="4"/>
    </row>
    <row r="709" spans="1:41" x14ac:dyDescent="0.3">
      <c r="A709" s="4">
        <v>47</v>
      </c>
      <c r="B709" s="4" t="s">
        <v>43</v>
      </c>
      <c r="C709" s="4" t="s">
        <v>44</v>
      </c>
      <c r="D709" s="4">
        <v>1379</v>
      </c>
      <c r="E709" s="4" t="s">
        <v>45</v>
      </c>
      <c r="F709" s="4">
        <v>16</v>
      </c>
      <c r="G709" s="4">
        <v>4</v>
      </c>
      <c r="H709" s="4" t="s">
        <v>51</v>
      </c>
      <c r="I709" s="4">
        <v>1</v>
      </c>
      <c r="J709" s="4">
        <v>987</v>
      </c>
      <c r="K709" s="4">
        <v>3</v>
      </c>
      <c r="L709" s="4" t="s">
        <v>46</v>
      </c>
      <c r="M709" s="4">
        <v>64</v>
      </c>
      <c r="N709" s="4">
        <v>4</v>
      </c>
      <c r="O709" s="4">
        <v>2</v>
      </c>
      <c r="P709" s="4" t="s">
        <v>53</v>
      </c>
      <c r="Q709" s="4">
        <v>3</v>
      </c>
      <c r="R709" s="4" t="s">
        <v>52</v>
      </c>
      <c r="S709" s="4">
        <v>5067</v>
      </c>
      <c r="T709" s="4">
        <v>6759</v>
      </c>
      <c r="U709" s="4">
        <v>1</v>
      </c>
      <c r="V709" s="4" t="s">
        <v>42</v>
      </c>
      <c r="W709" s="4" t="s">
        <v>35</v>
      </c>
      <c r="X709" s="4">
        <v>19</v>
      </c>
      <c r="Y709" s="4">
        <v>3</v>
      </c>
      <c r="Z709" s="4">
        <v>3</v>
      </c>
      <c r="AA709" s="4">
        <v>80</v>
      </c>
      <c r="AB709" s="4">
        <v>0</v>
      </c>
      <c r="AC709" s="4">
        <v>20</v>
      </c>
      <c r="AD709" s="4">
        <v>3</v>
      </c>
      <c r="AE709" s="4">
        <v>4</v>
      </c>
      <c r="AF709" s="4">
        <v>19</v>
      </c>
      <c r="AG709" s="4">
        <v>10</v>
      </c>
      <c r="AH709" s="4">
        <v>2</v>
      </c>
      <c r="AI709" s="4">
        <v>7</v>
      </c>
      <c r="AJ709" s="4"/>
      <c r="AK709" s="4"/>
      <c r="AL709" s="4"/>
      <c r="AM709" s="4"/>
      <c r="AN709" s="4"/>
      <c r="AO709" s="4"/>
    </row>
    <row r="710" spans="1:41" hidden="1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41" x14ac:dyDescent="0.3">
      <c r="A711" s="4">
        <v>31</v>
      </c>
      <c r="B711" s="4" t="s">
        <v>35</v>
      </c>
      <c r="C711" s="4" t="s">
        <v>55</v>
      </c>
      <c r="D711" s="4">
        <v>335</v>
      </c>
      <c r="E711" s="4" t="s">
        <v>45</v>
      </c>
      <c r="F711" s="4">
        <v>9</v>
      </c>
      <c r="G711" s="4">
        <v>2</v>
      </c>
      <c r="H711" s="4" t="s">
        <v>51</v>
      </c>
      <c r="I711" s="4">
        <v>1</v>
      </c>
      <c r="J711" s="4">
        <v>991</v>
      </c>
      <c r="K711" s="4">
        <v>3</v>
      </c>
      <c r="L711" s="4" t="s">
        <v>46</v>
      </c>
      <c r="M711" s="4">
        <v>46</v>
      </c>
      <c r="N711" s="4">
        <v>2</v>
      </c>
      <c r="O711" s="4">
        <v>1</v>
      </c>
      <c r="P711" s="4" t="s">
        <v>47</v>
      </c>
      <c r="Q711" s="4">
        <v>1</v>
      </c>
      <c r="R711" s="4" t="s">
        <v>41</v>
      </c>
      <c r="S711" s="4">
        <v>2321</v>
      </c>
      <c r="T711" s="4">
        <v>10322</v>
      </c>
      <c r="U711" s="4">
        <v>0</v>
      </c>
      <c r="V711" s="4" t="s">
        <v>42</v>
      </c>
      <c r="W711" s="4" t="s">
        <v>35</v>
      </c>
      <c r="X711" s="4">
        <v>22</v>
      </c>
      <c r="Y711" s="4">
        <v>4</v>
      </c>
      <c r="Z711" s="4">
        <v>1</v>
      </c>
      <c r="AA711" s="4">
        <v>80</v>
      </c>
      <c r="AB711" s="4">
        <v>0</v>
      </c>
      <c r="AC711" s="4">
        <v>4</v>
      </c>
      <c r="AD711" s="4">
        <v>0</v>
      </c>
      <c r="AE711" s="4">
        <v>3</v>
      </c>
      <c r="AF711" s="4">
        <v>3</v>
      </c>
      <c r="AG711" s="4">
        <v>2</v>
      </c>
      <c r="AH711" s="4">
        <v>1</v>
      </c>
      <c r="AI711" s="4">
        <v>2</v>
      </c>
      <c r="AJ711" s="4"/>
      <c r="AK711" s="4"/>
      <c r="AL711" s="4"/>
      <c r="AM711" s="4"/>
      <c r="AN711" s="4"/>
      <c r="AO711" s="4"/>
    </row>
    <row r="712" spans="1:41" hidden="1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41" x14ac:dyDescent="0.3">
      <c r="A713" s="4">
        <v>29</v>
      </c>
      <c r="B713" s="4" t="s">
        <v>35</v>
      </c>
      <c r="C713" s="4" t="s">
        <v>36</v>
      </c>
      <c r="D713" s="4">
        <v>906</v>
      </c>
      <c r="E713" s="4" t="s">
        <v>45</v>
      </c>
      <c r="F713" s="4">
        <v>10</v>
      </c>
      <c r="G713" s="4">
        <v>3</v>
      </c>
      <c r="H713" s="4" t="s">
        <v>38</v>
      </c>
      <c r="I713" s="4">
        <v>1</v>
      </c>
      <c r="J713" s="4">
        <v>994</v>
      </c>
      <c r="K713" s="4">
        <v>4</v>
      </c>
      <c r="L713" s="4" t="s">
        <v>39</v>
      </c>
      <c r="M713" s="4">
        <v>92</v>
      </c>
      <c r="N713" s="4">
        <v>2</v>
      </c>
      <c r="O713" s="4">
        <v>1</v>
      </c>
      <c r="P713" s="4" t="s">
        <v>47</v>
      </c>
      <c r="Q713" s="4">
        <v>1</v>
      </c>
      <c r="R713" s="4" t="s">
        <v>41</v>
      </c>
      <c r="S713" s="4">
        <v>2404</v>
      </c>
      <c r="T713" s="4">
        <v>11479</v>
      </c>
      <c r="U713" s="4">
        <v>6</v>
      </c>
      <c r="V713" s="4" t="s">
        <v>42</v>
      </c>
      <c r="W713" s="4" t="s">
        <v>35</v>
      </c>
      <c r="X713" s="4">
        <v>20</v>
      </c>
      <c r="Y713" s="4">
        <v>4</v>
      </c>
      <c r="Z713" s="4">
        <v>3</v>
      </c>
      <c r="AA713" s="4">
        <v>80</v>
      </c>
      <c r="AB713" s="4">
        <v>0</v>
      </c>
      <c r="AC713" s="4">
        <v>3</v>
      </c>
      <c r="AD713" s="4">
        <v>5</v>
      </c>
      <c r="AE713" s="4">
        <v>3</v>
      </c>
      <c r="AF713" s="4">
        <v>0</v>
      </c>
      <c r="AG713" s="4">
        <v>0</v>
      </c>
      <c r="AH713" s="4">
        <v>0</v>
      </c>
      <c r="AI713" s="4">
        <v>0</v>
      </c>
      <c r="AJ713" s="4"/>
      <c r="AK713" s="4"/>
      <c r="AL713" s="4"/>
      <c r="AM713" s="4"/>
      <c r="AN713" s="4"/>
      <c r="AO713" s="4"/>
    </row>
    <row r="714" spans="1:41" hidden="1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41" hidden="1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41" hidden="1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41" x14ac:dyDescent="0.3">
      <c r="A717" s="4">
        <v>33</v>
      </c>
      <c r="B717" s="4" t="s">
        <v>43</v>
      </c>
      <c r="C717" s="4" t="s">
        <v>44</v>
      </c>
      <c r="D717" s="4">
        <v>827</v>
      </c>
      <c r="E717" s="4" t="s">
        <v>45</v>
      </c>
      <c r="F717" s="4">
        <v>1</v>
      </c>
      <c r="G717" s="4">
        <v>4</v>
      </c>
      <c r="H717" s="4" t="s">
        <v>49</v>
      </c>
      <c r="I717" s="4">
        <v>1</v>
      </c>
      <c r="J717" s="4">
        <v>998</v>
      </c>
      <c r="K717" s="4">
        <v>3</v>
      </c>
      <c r="L717" s="4" t="s">
        <v>39</v>
      </c>
      <c r="M717" s="4">
        <v>84</v>
      </c>
      <c r="N717" s="4">
        <v>4</v>
      </c>
      <c r="O717" s="4">
        <v>2</v>
      </c>
      <c r="P717" s="4" t="s">
        <v>54</v>
      </c>
      <c r="Q717" s="4">
        <v>2</v>
      </c>
      <c r="R717" s="4" t="s">
        <v>48</v>
      </c>
      <c r="S717" s="4">
        <v>5488</v>
      </c>
      <c r="T717" s="4">
        <v>20161</v>
      </c>
      <c r="U717" s="4">
        <v>1</v>
      </c>
      <c r="V717" s="4" t="s">
        <v>42</v>
      </c>
      <c r="W717" s="4" t="s">
        <v>35</v>
      </c>
      <c r="X717" s="4">
        <v>13</v>
      </c>
      <c r="Y717" s="4">
        <v>3</v>
      </c>
      <c r="Z717" s="4">
        <v>1</v>
      </c>
      <c r="AA717" s="4">
        <v>80</v>
      </c>
      <c r="AB717" s="4">
        <v>1</v>
      </c>
      <c r="AC717" s="4">
        <v>6</v>
      </c>
      <c r="AD717" s="4">
        <v>2</v>
      </c>
      <c r="AE717" s="4">
        <v>3</v>
      </c>
      <c r="AF717" s="4">
        <v>6</v>
      </c>
      <c r="AG717" s="4">
        <v>5</v>
      </c>
      <c r="AH717" s="4">
        <v>1</v>
      </c>
      <c r="AI717" s="4">
        <v>2</v>
      </c>
      <c r="AJ717" s="4"/>
      <c r="AK717" s="4"/>
      <c r="AL717" s="4"/>
      <c r="AM717" s="4"/>
      <c r="AN717" s="4"/>
      <c r="AO717" s="4"/>
    </row>
    <row r="718" spans="1:41" hidden="1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41" hidden="1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41" x14ac:dyDescent="0.3">
      <c r="A720" s="4">
        <v>45</v>
      </c>
      <c r="B720" s="4" t="s">
        <v>43</v>
      </c>
      <c r="C720" s="4" t="s">
        <v>55</v>
      </c>
      <c r="D720" s="4">
        <v>248</v>
      </c>
      <c r="E720" s="4" t="s">
        <v>45</v>
      </c>
      <c r="F720" s="4">
        <v>23</v>
      </c>
      <c r="G720" s="4">
        <v>2</v>
      </c>
      <c r="H720" s="4" t="s">
        <v>38</v>
      </c>
      <c r="I720" s="4">
        <v>1</v>
      </c>
      <c r="J720" s="4">
        <v>1002</v>
      </c>
      <c r="K720" s="4">
        <v>4</v>
      </c>
      <c r="L720" s="4" t="s">
        <v>46</v>
      </c>
      <c r="M720" s="4">
        <v>42</v>
      </c>
      <c r="N720" s="4">
        <v>3</v>
      </c>
      <c r="O720" s="4">
        <v>2</v>
      </c>
      <c r="P720" s="4" t="s">
        <v>50</v>
      </c>
      <c r="Q720" s="4">
        <v>1</v>
      </c>
      <c r="R720" s="4" t="s">
        <v>48</v>
      </c>
      <c r="S720" s="4">
        <v>3633</v>
      </c>
      <c r="T720" s="4">
        <v>14039</v>
      </c>
      <c r="U720" s="4">
        <v>1</v>
      </c>
      <c r="V720" s="4" t="s">
        <v>42</v>
      </c>
      <c r="W720" s="4" t="s">
        <v>35</v>
      </c>
      <c r="X720" s="4">
        <v>15</v>
      </c>
      <c r="Y720" s="4">
        <v>3</v>
      </c>
      <c r="Z720" s="4">
        <v>3</v>
      </c>
      <c r="AA720" s="4">
        <v>80</v>
      </c>
      <c r="AB720" s="4">
        <v>1</v>
      </c>
      <c r="AC720" s="4">
        <v>9</v>
      </c>
      <c r="AD720" s="4">
        <v>2</v>
      </c>
      <c r="AE720" s="4">
        <v>3</v>
      </c>
      <c r="AF720" s="4">
        <v>9</v>
      </c>
      <c r="AG720" s="4">
        <v>8</v>
      </c>
      <c r="AH720" s="4">
        <v>0</v>
      </c>
      <c r="AI720" s="4">
        <v>8</v>
      </c>
      <c r="AJ720" s="4"/>
      <c r="AK720" s="4"/>
      <c r="AL720" s="4"/>
      <c r="AM720" s="4"/>
      <c r="AN720" s="4"/>
      <c r="AO720" s="4"/>
    </row>
    <row r="721" spans="1:41" x14ac:dyDescent="0.3">
      <c r="A721" s="4">
        <v>47</v>
      </c>
      <c r="B721" s="4" t="s">
        <v>43</v>
      </c>
      <c r="C721" s="4" t="s">
        <v>36</v>
      </c>
      <c r="D721" s="4">
        <v>955</v>
      </c>
      <c r="E721" s="4" t="s">
        <v>37</v>
      </c>
      <c r="F721" s="4">
        <v>4</v>
      </c>
      <c r="G721" s="4">
        <v>2</v>
      </c>
      <c r="H721" s="4" t="s">
        <v>38</v>
      </c>
      <c r="I721" s="4">
        <v>1</v>
      </c>
      <c r="J721" s="4">
        <v>1003</v>
      </c>
      <c r="K721" s="4">
        <v>4</v>
      </c>
      <c r="L721" s="4" t="s">
        <v>39</v>
      </c>
      <c r="M721" s="4">
        <v>83</v>
      </c>
      <c r="N721" s="4">
        <v>3</v>
      </c>
      <c r="O721" s="4">
        <v>2</v>
      </c>
      <c r="P721" s="4" t="s">
        <v>40</v>
      </c>
      <c r="Q721" s="4">
        <v>4</v>
      </c>
      <c r="R721" s="4" t="s">
        <v>41</v>
      </c>
      <c r="S721" s="4">
        <v>4163</v>
      </c>
      <c r="T721" s="4">
        <v>8571</v>
      </c>
      <c r="U721" s="4">
        <v>1</v>
      </c>
      <c r="V721" s="4" t="s">
        <v>42</v>
      </c>
      <c r="W721" s="4" t="s">
        <v>35</v>
      </c>
      <c r="X721" s="4">
        <v>17</v>
      </c>
      <c r="Y721" s="4">
        <v>3</v>
      </c>
      <c r="Z721" s="4">
        <v>3</v>
      </c>
      <c r="AA721" s="4">
        <v>80</v>
      </c>
      <c r="AB721" s="4">
        <v>0</v>
      </c>
      <c r="AC721" s="4">
        <v>9</v>
      </c>
      <c r="AD721" s="4">
        <v>0</v>
      </c>
      <c r="AE721" s="4">
        <v>3</v>
      </c>
      <c r="AF721" s="4">
        <v>9</v>
      </c>
      <c r="AG721" s="4">
        <v>0</v>
      </c>
      <c r="AH721" s="4">
        <v>0</v>
      </c>
      <c r="AI721" s="4">
        <v>7</v>
      </c>
      <c r="AJ721" s="4"/>
      <c r="AK721" s="4"/>
      <c r="AL721" s="4"/>
      <c r="AM721" s="4"/>
      <c r="AN721" s="4"/>
      <c r="AO721" s="4"/>
    </row>
    <row r="722" spans="1:41" x14ac:dyDescent="0.3">
      <c r="A722" s="4">
        <v>30</v>
      </c>
      <c r="B722" s="4" t="s">
        <v>35</v>
      </c>
      <c r="C722" s="4" t="s">
        <v>36</v>
      </c>
      <c r="D722" s="4">
        <v>138</v>
      </c>
      <c r="E722" s="4" t="s">
        <v>45</v>
      </c>
      <c r="F722" s="4">
        <v>22</v>
      </c>
      <c r="G722" s="4">
        <v>3</v>
      </c>
      <c r="H722" s="4" t="s">
        <v>38</v>
      </c>
      <c r="I722" s="4">
        <v>1</v>
      </c>
      <c r="J722" s="4">
        <v>1004</v>
      </c>
      <c r="K722" s="4">
        <v>1</v>
      </c>
      <c r="L722" s="4" t="s">
        <v>39</v>
      </c>
      <c r="M722" s="4">
        <v>48</v>
      </c>
      <c r="N722" s="4">
        <v>3</v>
      </c>
      <c r="O722" s="4">
        <v>1</v>
      </c>
      <c r="P722" s="4" t="s">
        <v>47</v>
      </c>
      <c r="Q722" s="4">
        <v>3</v>
      </c>
      <c r="R722" s="4" t="s">
        <v>48</v>
      </c>
      <c r="S722" s="4">
        <v>2132</v>
      </c>
      <c r="T722" s="4">
        <v>11539</v>
      </c>
      <c r="U722" s="4">
        <v>4</v>
      </c>
      <c r="V722" s="4" t="s">
        <v>42</v>
      </c>
      <c r="W722" s="4" t="s">
        <v>35</v>
      </c>
      <c r="X722" s="4">
        <v>11</v>
      </c>
      <c r="Y722" s="4">
        <v>3</v>
      </c>
      <c r="Z722" s="4">
        <v>2</v>
      </c>
      <c r="AA722" s="4">
        <v>80</v>
      </c>
      <c r="AB722" s="4">
        <v>0</v>
      </c>
      <c r="AC722" s="4">
        <v>7</v>
      </c>
      <c r="AD722" s="4">
        <v>2</v>
      </c>
      <c r="AE722" s="4">
        <v>3</v>
      </c>
      <c r="AF722" s="4">
        <v>5</v>
      </c>
      <c r="AG722" s="4">
        <v>2</v>
      </c>
      <c r="AH722" s="4">
        <v>0</v>
      </c>
      <c r="AI722" s="4">
        <v>1</v>
      </c>
      <c r="AJ722" s="4"/>
      <c r="AK722" s="4"/>
      <c r="AL722" s="4"/>
      <c r="AM722" s="4"/>
      <c r="AN722" s="4"/>
      <c r="AO722" s="4"/>
    </row>
    <row r="723" spans="1:41" x14ac:dyDescent="0.3">
      <c r="A723" s="4">
        <v>50</v>
      </c>
      <c r="B723" s="4" t="s">
        <v>43</v>
      </c>
      <c r="C723" s="4" t="s">
        <v>36</v>
      </c>
      <c r="D723" s="4">
        <v>939</v>
      </c>
      <c r="E723" s="4" t="s">
        <v>45</v>
      </c>
      <c r="F723" s="4">
        <v>24</v>
      </c>
      <c r="G723" s="4">
        <v>3</v>
      </c>
      <c r="H723" s="4" t="s">
        <v>38</v>
      </c>
      <c r="I723" s="4">
        <v>1</v>
      </c>
      <c r="J723" s="4">
        <v>1005</v>
      </c>
      <c r="K723" s="4">
        <v>4</v>
      </c>
      <c r="L723" s="4" t="s">
        <v>46</v>
      </c>
      <c r="M723" s="4">
        <v>95</v>
      </c>
      <c r="N723" s="4">
        <v>3</v>
      </c>
      <c r="O723" s="4">
        <v>4</v>
      </c>
      <c r="P723" s="4" t="s">
        <v>53</v>
      </c>
      <c r="Q723" s="4">
        <v>3</v>
      </c>
      <c r="R723" s="4" t="s">
        <v>48</v>
      </c>
      <c r="S723" s="4">
        <v>13973</v>
      </c>
      <c r="T723" s="4">
        <v>4161</v>
      </c>
      <c r="U723" s="4">
        <v>3</v>
      </c>
      <c r="V723" s="4" t="s">
        <v>42</v>
      </c>
      <c r="W723" s="4" t="s">
        <v>35</v>
      </c>
      <c r="X723" s="4">
        <v>18</v>
      </c>
      <c r="Y723" s="4">
        <v>3</v>
      </c>
      <c r="Z723" s="4">
        <v>4</v>
      </c>
      <c r="AA723" s="4">
        <v>80</v>
      </c>
      <c r="AB723" s="4">
        <v>1</v>
      </c>
      <c r="AC723" s="4">
        <v>22</v>
      </c>
      <c r="AD723" s="4">
        <v>2</v>
      </c>
      <c r="AE723" s="4">
        <v>3</v>
      </c>
      <c r="AF723" s="4">
        <v>12</v>
      </c>
      <c r="AG723" s="4">
        <v>11</v>
      </c>
      <c r="AH723" s="4">
        <v>1</v>
      </c>
      <c r="AI723" s="4">
        <v>5</v>
      </c>
      <c r="AJ723" s="4"/>
      <c r="AK723" s="4"/>
      <c r="AL723" s="4"/>
      <c r="AM723" s="4"/>
      <c r="AN723" s="4"/>
      <c r="AO723" s="4"/>
    </row>
    <row r="724" spans="1:41" hidden="1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41" hidden="1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41" hidden="1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41" x14ac:dyDescent="0.3">
      <c r="A727" s="4">
        <v>35</v>
      </c>
      <c r="B727" s="4" t="s">
        <v>35</v>
      </c>
      <c r="C727" s="4" t="s">
        <v>36</v>
      </c>
      <c r="D727" s="4">
        <v>622</v>
      </c>
      <c r="E727" s="4" t="s">
        <v>45</v>
      </c>
      <c r="F727" s="4">
        <v>14</v>
      </c>
      <c r="G727" s="4">
        <v>4</v>
      </c>
      <c r="H727" s="4" t="s">
        <v>49</v>
      </c>
      <c r="I727" s="4">
        <v>1</v>
      </c>
      <c r="J727" s="4">
        <v>1010</v>
      </c>
      <c r="K727" s="4">
        <v>3</v>
      </c>
      <c r="L727" s="4" t="s">
        <v>46</v>
      </c>
      <c r="M727" s="4">
        <v>39</v>
      </c>
      <c r="N727" s="4">
        <v>2</v>
      </c>
      <c r="O727" s="4">
        <v>1</v>
      </c>
      <c r="P727" s="4" t="s">
        <v>50</v>
      </c>
      <c r="Q727" s="4">
        <v>2</v>
      </c>
      <c r="R727" s="4" t="s">
        <v>52</v>
      </c>
      <c r="S727" s="4">
        <v>3743</v>
      </c>
      <c r="T727" s="4">
        <v>10074</v>
      </c>
      <c r="U727" s="4">
        <v>1</v>
      </c>
      <c r="V727" s="4" t="s">
        <v>42</v>
      </c>
      <c r="W727" s="4" t="s">
        <v>35</v>
      </c>
      <c r="X727" s="4">
        <v>24</v>
      </c>
      <c r="Y727" s="4">
        <v>4</v>
      </c>
      <c r="Z727" s="4">
        <v>4</v>
      </c>
      <c r="AA727" s="4">
        <v>80</v>
      </c>
      <c r="AB727" s="4">
        <v>1</v>
      </c>
      <c r="AC727" s="4">
        <v>5</v>
      </c>
      <c r="AD727" s="4">
        <v>2</v>
      </c>
      <c r="AE727" s="4">
        <v>1</v>
      </c>
      <c r="AF727" s="4">
        <v>4</v>
      </c>
      <c r="AG727" s="4">
        <v>2</v>
      </c>
      <c r="AH727" s="4">
        <v>0</v>
      </c>
      <c r="AI727" s="4">
        <v>2</v>
      </c>
      <c r="AJ727" s="4"/>
      <c r="AK727" s="4"/>
      <c r="AL727" s="4"/>
      <c r="AM727" s="4"/>
      <c r="AN727" s="4"/>
      <c r="AO727" s="4"/>
    </row>
    <row r="728" spans="1:41" hidden="1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41" hidden="1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41" hidden="1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41" x14ac:dyDescent="0.3">
      <c r="A731" s="4">
        <v>35</v>
      </c>
      <c r="B731" s="4" t="s">
        <v>43</v>
      </c>
      <c r="C731" s="4" t="s">
        <v>36</v>
      </c>
      <c r="D731" s="4">
        <v>583</v>
      </c>
      <c r="E731" s="4" t="s">
        <v>45</v>
      </c>
      <c r="F731" s="4">
        <v>25</v>
      </c>
      <c r="G731" s="4">
        <v>4</v>
      </c>
      <c r="H731" s="4" t="s">
        <v>51</v>
      </c>
      <c r="I731" s="4">
        <v>1</v>
      </c>
      <c r="J731" s="4">
        <v>1014</v>
      </c>
      <c r="K731" s="4">
        <v>3</v>
      </c>
      <c r="L731" s="4" t="s">
        <v>39</v>
      </c>
      <c r="M731" s="4">
        <v>57</v>
      </c>
      <c r="N731" s="4">
        <v>3</v>
      </c>
      <c r="O731" s="4">
        <v>3</v>
      </c>
      <c r="P731" s="4" t="s">
        <v>54</v>
      </c>
      <c r="Q731" s="4">
        <v>3</v>
      </c>
      <c r="R731" s="4" t="s">
        <v>52</v>
      </c>
      <c r="S731" s="4">
        <v>10388</v>
      </c>
      <c r="T731" s="4">
        <v>6975</v>
      </c>
      <c r="U731" s="4">
        <v>1</v>
      </c>
      <c r="V731" s="4" t="s">
        <v>42</v>
      </c>
      <c r="W731" s="4" t="s">
        <v>35</v>
      </c>
      <c r="X731" s="4">
        <v>11</v>
      </c>
      <c r="Y731" s="4">
        <v>3</v>
      </c>
      <c r="Z731" s="4">
        <v>3</v>
      </c>
      <c r="AA731" s="4">
        <v>80</v>
      </c>
      <c r="AB731" s="4">
        <v>1</v>
      </c>
      <c r="AC731" s="4">
        <v>16</v>
      </c>
      <c r="AD731" s="4">
        <v>3</v>
      </c>
      <c r="AE731" s="4">
        <v>2</v>
      </c>
      <c r="AF731" s="4">
        <v>16</v>
      </c>
      <c r="AG731" s="4">
        <v>10</v>
      </c>
      <c r="AH731" s="4">
        <v>10</v>
      </c>
      <c r="AI731" s="4">
        <v>1</v>
      </c>
      <c r="AJ731" s="4"/>
      <c r="AK731" s="4"/>
      <c r="AL731" s="4"/>
      <c r="AM731" s="4"/>
      <c r="AN731" s="4"/>
      <c r="AO731" s="4"/>
    </row>
    <row r="732" spans="1:41" x14ac:dyDescent="0.3">
      <c r="A732" s="4">
        <v>30</v>
      </c>
      <c r="B732" s="4" t="s">
        <v>43</v>
      </c>
      <c r="C732" s="4" t="s">
        <v>36</v>
      </c>
      <c r="D732" s="4">
        <v>153</v>
      </c>
      <c r="E732" s="4" t="s">
        <v>45</v>
      </c>
      <c r="F732" s="4">
        <v>8</v>
      </c>
      <c r="G732" s="4">
        <v>2</v>
      </c>
      <c r="H732" s="4" t="s">
        <v>38</v>
      </c>
      <c r="I732" s="4">
        <v>1</v>
      </c>
      <c r="J732" s="4">
        <v>1015</v>
      </c>
      <c r="K732" s="4">
        <v>2</v>
      </c>
      <c r="L732" s="4" t="s">
        <v>39</v>
      </c>
      <c r="M732" s="4">
        <v>73</v>
      </c>
      <c r="N732" s="4">
        <v>4</v>
      </c>
      <c r="O732" s="4">
        <v>3</v>
      </c>
      <c r="P732" s="4" t="s">
        <v>58</v>
      </c>
      <c r="Q732" s="4">
        <v>1</v>
      </c>
      <c r="R732" s="4" t="s">
        <v>48</v>
      </c>
      <c r="S732" s="4">
        <v>11416</v>
      </c>
      <c r="T732" s="4">
        <v>17802</v>
      </c>
      <c r="U732" s="4">
        <v>0</v>
      </c>
      <c r="V732" s="4" t="s">
        <v>42</v>
      </c>
      <c r="W732" s="4" t="s">
        <v>35</v>
      </c>
      <c r="X732" s="4">
        <v>12</v>
      </c>
      <c r="Y732" s="4">
        <v>3</v>
      </c>
      <c r="Z732" s="4">
        <v>3</v>
      </c>
      <c r="AA732" s="4">
        <v>80</v>
      </c>
      <c r="AB732" s="4">
        <v>3</v>
      </c>
      <c r="AC732" s="4">
        <v>9</v>
      </c>
      <c r="AD732" s="4">
        <v>4</v>
      </c>
      <c r="AE732" s="4">
        <v>2</v>
      </c>
      <c r="AF732" s="4">
        <v>8</v>
      </c>
      <c r="AG732" s="4">
        <v>7</v>
      </c>
      <c r="AH732" s="4">
        <v>1</v>
      </c>
      <c r="AI732" s="4">
        <v>7</v>
      </c>
      <c r="AJ732" s="4"/>
      <c r="AK732" s="4"/>
      <c r="AL732" s="4"/>
      <c r="AM732" s="4"/>
      <c r="AN732" s="4"/>
      <c r="AO732" s="4"/>
    </row>
    <row r="733" spans="1:41" x14ac:dyDescent="0.3">
      <c r="A733" s="4">
        <v>20</v>
      </c>
      <c r="B733" s="4" t="s">
        <v>35</v>
      </c>
      <c r="C733" s="4" t="s">
        <v>36</v>
      </c>
      <c r="D733" s="4">
        <v>1097</v>
      </c>
      <c r="E733" s="4" t="s">
        <v>45</v>
      </c>
      <c r="F733" s="4">
        <v>11</v>
      </c>
      <c r="G733" s="4">
        <v>3</v>
      </c>
      <c r="H733" s="4" t="s">
        <v>51</v>
      </c>
      <c r="I733" s="4">
        <v>1</v>
      </c>
      <c r="J733" s="4">
        <v>1016</v>
      </c>
      <c r="K733" s="4">
        <v>4</v>
      </c>
      <c r="L733" s="4" t="s">
        <v>39</v>
      </c>
      <c r="M733" s="4">
        <v>98</v>
      </c>
      <c r="N733" s="4">
        <v>2</v>
      </c>
      <c r="O733" s="4">
        <v>1</v>
      </c>
      <c r="P733" s="4" t="s">
        <v>47</v>
      </c>
      <c r="Q733" s="4">
        <v>1</v>
      </c>
      <c r="R733" s="4" t="s">
        <v>41</v>
      </c>
      <c r="S733" s="4">
        <v>2600</v>
      </c>
      <c r="T733" s="4">
        <v>18275</v>
      </c>
      <c r="U733" s="4">
        <v>1</v>
      </c>
      <c r="V733" s="4" t="s">
        <v>42</v>
      </c>
      <c r="W733" s="4" t="s">
        <v>35</v>
      </c>
      <c r="X733" s="4">
        <v>15</v>
      </c>
      <c r="Y733" s="4">
        <v>3</v>
      </c>
      <c r="Z733" s="4">
        <v>1</v>
      </c>
      <c r="AA733" s="4">
        <v>80</v>
      </c>
      <c r="AB733" s="4">
        <v>0</v>
      </c>
      <c r="AC733" s="4">
        <v>1</v>
      </c>
      <c r="AD733" s="4">
        <v>2</v>
      </c>
      <c r="AE733" s="4">
        <v>3</v>
      </c>
      <c r="AF733" s="4">
        <v>1</v>
      </c>
      <c r="AG733" s="4">
        <v>0</v>
      </c>
      <c r="AH733" s="4">
        <v>0</v>
      </c>
      <c r="AI733" s="4">
        <v>0</v>
      </c>
      <c r="AJ733" s="4"/>
      <c r="AK733" s="4"/>
      <c r="AL733" s="4"/>
      <c r="AM733" s="4"/>
      <c r="AN733" s="4"/>
      <c r="AO733" s="4"/>
    </row>
    <row r="734" spans="1:41" hidden="1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41" hidden="1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41" hidden="1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41" hidden="1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41" hidden="1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41" hidden="1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41" hidden="1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41" hidden="1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41" hidden="1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41" hidden="1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41" hidden="1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41" x14ac:dyDescent="0.3">
      <c r="A745" s="4">
        <v>59</v>
      </c>
      <c r="B745" s="4" t="s">
        <v>43</v>
      </c>
      <c r="C745" s="4" t="s">
        <v>36</v>
      </c>
      <c r="D745" s="4">
        <v>715</v>
      </c>
      <c r="E745" s="4" t="s">
        <v>45</v>
      </c>
      <c r="F745" s="4">
        <v>2</v>
      </c>
      <c r="G745" s="4">
        <v>3</v>
      </c>
      <c r="H745" s="4" t="s">
        <v>38</v>
      </c>
      <c r="I745" s="4">
        <v>1</v>
      </c>
      <c r="J745" s="4">
        <v>1032</v>
      </c>
      <c r="K745" s="4">
        <v>3</v>
      </c>
      <c r="L745" s="4" t="s">
        <v>39</v>
      </c>
      <c r="M745" s="4">
        <v>69</v>
      </c>
      <c r="N745" s="4">
        <v>2</v>
      </c>
      <c r="O745" s="4">
        <v>4</v>
      </c>
      <c r="P745" s="4" t="s">
        <v>53</v>
      </c>
      <c r="Q745" s="4">
        <v>4</v>
      </c>
      <c r="R745" s="4" t="s">
        <v>41</v>
      </c>
      <c r="S745" s="4">
        <v>13726</v>
      </c>
      <c r="T745" s="4">
        <v>21829</v>
      </c>
      <c r="U745" s="4">
        <v>3</v>
      </c>
      <c r="V745" s="4" t="s">
        <v>42</v>
      </c>
      <c r="W745" s="4" t="s">
        <v>35</v>
      </c>
      <c r="X745" s="4">
        <v>13</v>
      </c>
      <c r="Y745" s="4">
        <v>3</v>
      </c>
      <c r="Z745" s="4">
        <v>1</v>
      </c>
      <c r="AA745" s="4">
        <v>80</v>
      </c>
      <c r="AB745" s="4">
        <v>0</v>
      </c>
      <c r="AC745" s="4">
        <v>30</v>
      </c>
      <c r="AD745" s="4">
        <v>4</v>
      </c>
      <c r="AE745" s="4">
        <v>3</v>
      </c>
      <c r="AF745" s="4">
        <v>5</v>
      </c>
      <c r="AG745" s="4">
        <v>3</v>
      </c>
      <c r="AH745" s="4">
        <v>4</v>
      </c>
      <c r="AI745" s="4">
        <v>3</v>
      </c>
      <c r="AJ745" s="4"/>
      <c r="AK745" s="4"/>
      <c r="AL745" s="4"/>
      <c r="AM745" s="4"/>
      <c r="AN745" s="4"/>
      <c r="AO745" s="4"/>
    </row>
    <row r="746" spans="1:41" hidden="1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41" x14ac:dyDescent="0.3">
      <c r="A747" s="4">
        <v>55</v>
      </c>
      <c r="B747" s="4" t="s">
        <v>43</v>
      </c>
      <c r="C747" s="4" t="s">
        <v>44</v>
      </c>
      <c r="D747" s="4">
        <v>135</v>
      </c>
      <c r="E747" s="4" t="s">
        <v>45</v>
      </c>
      <c r="F747" s="4">
        <v>18</v>
      </c>
      <c r="G747" s="4">
        <v>4</v>
      </c>
      <c r="H747" s="4" t="s">
        <v>51</v>
      </c>
      <c r="I747" s="4">
        <v>1</v>
      </c>
      <c r="J747" s="4">
        <v>1034</v>
      </c>
      <c r="K747" s="4">
        <v>3</v>
      </c>
      <c r="L747" s="4" t="s">
        <v>46</v>
      </c>
      <c r="M747" s="4">
        <v>62</v>
      </c>
      <c r="N747" s="4">
        <v>3</v>
      </c>
      <c r="O747" s="4">
        <v>2</v>
      </c>
      <c r="P747" s="4" t="s">
        <v>54</v>
      </c>
      <c r="Q747" s="4">
        <v>2</v>
      </c>
      <c r="R747" s="4" t="s">
        <v>48</v>
      </c>
      <c r="S747" s="4">
        <v>6385</v>
      </c>
      <c r="T747" s="4">
        <v>12992</v>
      </c>
      <c r="U747" s="4">
        <v>3</v>
      </c>
      <c r="V747" s="4" t="s">
        <v>42</v>
      </c>
      <c r="W747" s="4" t="s">
        <v>35</v>
      </c>
      <c r="X747" s="4">
        <v>14</v>
      </c>
      <c r="Y747" s="4">
        <v>3</v>
      </c>
      <c r="Z747" s="4">
        <v>4</v>
      </c>
      <c r="AA747" s="4">
        <v>80</v>
      </c>
      <c r="AB747" s="4">
        <v>2</v>
      </c>
      <c r="AC747" s="4">
        <v>17</v>
      </c>
      <c r="AD747" s="4">
        <v>3</v>
      </c>
      <c r="AE747" s="4">
        <v>3</v>
      </c>
      <c r="AF747" s="4">
        <v>8</v>
      </c>
      <c r="AG747" s="4">
        <v>7</v>
      </c>
      <c r="AH747" s="4">
        <v>6</v>
      </c>
      <c r="AI747" s="4">
        <v>7</v>
      </c>
      <c r="AJ747" s="4"/>
      <c r="AK747" s="4"/>
      <c r="AL747" s="4"/>
      <c r="AM747" s="4"/>
      <c r="AN747" s="4"/>
      <c r="AO747" s="4"/>
    </row>
    <row r="748" spans="1:41" hidden="1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41" x14ac:dyDescent="0.3">
      <c r="A749" s="4">
        <v>38</v>
      </c>
      <c r="B749" s="4" t="s">
        <v>43</v>
      </c>
      <c r="C749" s="4" t="s">
        <v>36</v>
      </c>
      <c r="D749" s="4">
        <v>1035</v>
      </c>
      <c r="E749" s="4" t="s">
        <v>37</v>
      </c>
      <c r="F749" s="4">
        <v>3</v>
      </c>
      <c r="G749" s="4">
        <v>4</v>
      </c>
      <c r="H749" s="4" t="s">
        <v>38</v>
      </c>
      <c r="I749" s="4">
        <v>1</v>
      </c>
      <c r="J749" s="4">
        <v>1036</v>
      </c>
      <c r="K749" s="4">
        <v>2</v>
      </c>
      <c r="L749" s="4" t="s">
        <v>46</v>
      </c>
      <c r="M749" s="4">
        <v>42</v>
      </c>
      <c r="N749" s="4">
        <v>3</v>
      </c>
      <c r="O749" s="4">
        <v>2</v>
      </c>
      <c r="P749" s="4" t="s">
        <v>40</v>
      </c>
      <c r="Q749" s="4">
        <v>4</v>
      </c>
      <c r="R749" s="4" t="s">
        <v>41</v>
      </c>
      <c r="S749" s="4">
        <v>6861</v>
      </c>
      <c r="T749" s="4">
        <v>4981</v>
      </c>
      <c r="U749" s="4">
        <v>8</v>
      </c>
      <c r="V749" s="4" t="s">
        <v>42</v>
      </c>
      <c r="W749" s="4" t="s">
        <v>35</v>
      </c>
      <c r="X749" s="4">
        <v>12</v>
      </c>
      <c r="Y749" s="4">
        <v>3</v>
      </c>
      <c r="Z749" s="4">
        <v>3</v>
      </c>
      <c r="AA749" s="4">
        <v>80</v>
      </c>
      <c r="AB749" s="4">
        <v>0</v>
      </c>
      <c r="AC749" s="4">
        <v>19</v>
      </c>
      <c r="AD749" s="4">
        <v>1</v>
      </c>
      <c r="AE749" s="4">
        <v>3</v>
      </c>
      <c r="AF749" s="4">
        <v>1</v>
      </c>
      <c r="AG749" s="4">
        <v>0</v>
      </c>
      <c r="AH749" s="4">
        <v>0</v>
      </c>
      <c r="AI749" s="4">
        <v>0</v>
      </c>
      <c r="AJ749" s="4"/>
      <c r="AK749" s="4"/>
      <c r="AL749" s="4"/>
      <c r="AM749" s="4"/>
      <c r="AN749" s="4"/>
      <c r="AO749" s="4"/>
    </row>
    <row r="750" spans="1:41" hidden="1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41" hidden="1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41" x14ac:dyDescent="0.3">
      <c r="A752" s="4">
        <v>44</v>
      </c>
      <c r="B752" s="4" t="s">
        <v>43</v>
      </c>
      <c r="C752" s="4" t="s">
        <v>36</v>
      </c>
      <c r="D752" s="4">
        <v>1448</v>
      </c>
      <c r="E752" s="4" t="s">
        <v>37</v>
      </c>
      <c r="F752" s="4">
        <v>28</v>
      </c>
      <c r="G752" s="4">
        <v>3</v>
      </c>
      <c r="H752" s="4" t="s">
        <v>51</v>
      </c>
      <c r="I752" s="4">
        <v>1</v>
      </c>
      <c r="J752" s="4">
        <v>1039</v>
      </c>
      <c r="K752" s="4">
        <v>4</v>
      </c>
      <c r="L752" s="4" t="s">
        <v>39</v>
      </c>
      <c r="M752" s="4">
        <v>53</v>
      </c>
      <c r="N752" s="4">
        <v>4</v>
      </c>
      <c r="O752" s="4">
        <v>4</v>
      </c>
      <c r="P752" s="4" t="s">
        <v>40</v>
      </c>
      <c r="Q752" s="4">
        <v>4</v>
      </c>
      <c r="R752" s="4" t="s">
        <v>48</v>
      </c>
      <c r="S752" s="4">
        <v>13320</v>
      </c>
      <c r="T752" s="4">
        <v>11737</v>
      </c>
      <c r="U752" s="4">
        <v>3</v>
      </c>
      <c r="V752" s="4" t="s">
        <v>42</v>
      </c>
      <c r="W752" s="4" t="s">
        <v>35</v>
      </c>
      <c r="X752" s="4">
        <v>18</v>
      </c>
      <c r="Y752" s="4">
        <v>3</v>
      </c>
      <c r="Z752" s="4">
        <v>3</v>
      </c>
      <c r="AA752" s="4">
        <v>80</v>
      </c>
      <c r="AB752" s="4">
        <v>1</v>
      </c>
      <c r="AC752" s="4">
        <v>23</v>
      </c>
      <c r="AD752" s="4">
        <v>2</v>
      </c>
      <c r="AE752" s="4">
        <v>3</v>
      </c>
      <c r="AF752" s="4">
        <v>12</v>
      </c>
      <c r="AG752" s="4">
        <v>11</v>
      </c>
      <c r="AH752" s="4">
        <v>11</v>
      </c>
      <c r="AI752" s="4">
        <v>11</v>
      </c>
      <c r="AJ752" s="4"/>
      <c r="AK752" s="4"/>
      <c r="AL752" s="4"/>
      <c r="AM752" s="4"/>
      <c r="AN752" s="4"/>
      <c r="AO752" s="4"/>
    </row>
    <row r="753" spans="1:41" hidden="1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41" hidden="1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41" x14ac:dyDescent="0.3">
      <c r="A755" s="4">
        <v>39</v>
      </c>
      <c r="B755" s="4" t="s">
        <v>43</v>
      </c>
      <c r="C755" s="4" t="s">
        <v>44</v>
      </c>
      <c r="D755" s="4">
        <v>945</v>
      </c>
      <c r="E755" s="4" t="s">
        <v>45</v>
      </c>
      <c r="F755" s="4">
        <v>22</v>
      </c>
      <c r="G755" s="4">
        <v>3</v>
      </c>
      <c r="H755" s="4" t="s">
        <v>51</v>
      </c>
      <c r="I755" s="4">
        <v>1</v>
      </c>
      <c r="J755" s="4">
        <v>1043</v>
      </c>
      <c r="K755" s="4">
        <v>4</v>
      </c>
      <c r="L755" s="4" t="s">
        <v>39</v>
      </c>
      <c r="M755" s="4">
        <v>82</v>
      </c>
      <c r="N755" s="4">
        <v>3</v>
      </c>
      <c r="O755" s="4">
        <v>3</v>
      </c>
      <c r="P755" s="4" t="s">
        <v>53</v>
      </c>
      <c r="Q755" s="4">
        <v>1</v>
      </c>
      <c r="R755" s="4" t="s">
        <v>41</v>
      </c>
      <c r="S755" s="4">
        <v>10880</v>
      </c>
      <c r="T755" s="4">
        <v>5083</v>
      </c>
      <c r="U755" s="4">
        <v>1</v>
      </c>
      <c r="V755" s="4" t="s">
        <v>42</v>
      </c>
      <c r="W755" s="4" t="s">
        <v>35</v>
      </c>
      <c r="X755" s="4">
        <v>13</v>
      </c>
      <c r="Y755" s="4">
        <v>3</v>
      </c>
      <c r="Z755" s="4">
        <v>3</v>
      </c>
      <c r="AA755" s="4">
        <v>80</v>
      </c>
      <c r="AB755" s="4">
        <v>0</v>
      </c>
      <c r="AC755" s="4">
        <v>21</v>
      </c>
      <c r="AD755" s="4">
        <v>2</v>
      </c>
      <c r="AE755" s="4">
        <v>3</v>
      </c>
      <c r="AF755" s="4">
        <v>21</v>
      </c>
      <c r="AG755" s="4">
        <v>6</v>
      </c>
      <c r="AH755" s="4">
        <v>2</v>
      </c>
      <c r="AI755" s="4">
        <v>8</v>
      </c>
      <c r="AJ755" s="4"/>
      <c r="AK755" s="4"/>
      <c r="AL755" s="4"/>
      <c r="AM755" s="4"/>
      <c r="AN755" s="4"/>
      <c r="AO755" s="4"/>
    </row>
    <row r="756" spans="1:41" hidden="1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41" hidden="1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41" hidden="1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41" hidden="1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41" x14ac:dyDescent="0.3">
      <c r="A760" s="4">
        <v>59</v>
      </c>
      <c r="B760" s="4" t="s">
        <v>43</v>
      </c>
      <c r="C760" s="4" t="s">
        <v>36</v>
      </c>
      <c r="D760" s="4">
        <v>1089</v>
      </c>
      <c r="E760" s="4" t="s">
        <v>37</v>
      </c>
      <c r="F760" s="4">
        <v>1</v>
      </c>
      <c r="G760" s="4">
        <v>2</v>
      </c>
      <c r="H760" s="4" t="s">
        <v>60</v>
      </c>
      <c r="I760" s="4">
        <v>1</v>
      </c>
      <c r="J760" s="4">
        <v>1048</v>
      </c>
      <c r="K760" s="4">
        <v>2</v>
      </c>
      <c r="L760" s="4" t="s">
        <v>46</v>
      </c>
      <c r="M760" s="4">
        <v>66</v>
      </c>
      <c r="N760" s="4">
        <v>3</v>
      </c>
      <c r="O760" s="4">
        <v>3</v>
      </c>
      <c r="P760" s="4" t="s">
        <v>56</v>
      </c>
      <c r="Q760" s="4">
        <v>4</v>
      </c>
      <c r="R760" s="4" t="s">
        <v>48</v>
      </c>
      <c r="S760" s="4">
        <v>11904</v>
      </c>
      <c r="T760" s="4">
        <v>11038</v>
      </c>
      <c r="U760" s="4">
        <v>3</v>
      </c>
      <c r="V760" s="4" t="s">
        <v>42</v>
      </c>
      <c r="W760" s="4" t="s">
        <v>35</v>
      </c>
      <c r="X760" s="4">
        <v>14</v>
      </c>
      <c r="Y760" s="4">
        <v>3</v>
      </c>
      <c r="Z760" s="4">
        <v>3</v>
      </c>
      <c r="AA760" s="4">
        <v>80</v>
      </c>
      <c r="AB760" s="4">
        <v>1</v>
      </c>
      <c r="AC760" s="4">
        <v>14</v>
      </c>
      <c r="AD760" s="4">
        <v>1</v>
      </c>
      <c r="AE760" s="4">
        <v>1</v>
      </c>
      <c r="AF760" s="4">
        <v>6</v>
      </c>
      <c r="AG760" s="4">
        <v>4</v>
      </c>
      <c r="AH760" s="4">
        <v>0</v>
      </c>
      <c r="AI760" s="4">
        <v>4</v>
      </c>
      <c r="AJ760" s="4"/>
      <c r="AK760" s="4"/>
      <c r="AL760" s="4"/>
      <c r="AM760" s="4"/>
      <c r="AN760" s="4"/>
      <c r="AO760" s="4"/>
    </row>
    <row r="761" spans="1:41" hidden="1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41" hidden="1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41" hidden="1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41" x14ac:dyDescent="0.3">
      <c r="A764" s="4">
        <v>26</v>
      </c>
      <c r="B764" s="4" t="s">
        <v>35</v>
      </c>
      <c r="C764" s="4" t="s">
        <v>44</v>
      </c>
      <c r="D764" s="4">
        <v>342</v>
      </c>
      <c r="E764" s="4" t="s">
        <v>45</v>
      </c>
      <c r="F764" s="4">
        <v>2</v>
      </c>
      <c r="G764" s="4">
        <v>3</v>
      </c>
      <c r="H764" s="4" t="s">
        <v>38</v>
      </c>
      <c r="I764" s="4">
        <v>1</v>
      </c>
      <c r="J764" s="4">
        <v>1053</v>
      </c>
      <c r="K764" s="4">
        <v>1</v>
      </c>
      <c r="L764" s="4" t="s">
        <v>46</v>
      </c>
      <c r="M764" s="4">
        <v>57</v>
      </c>
      <c r="N764" s="4">
        <v>3</v>
      </c>
      <c r="O764" s="4">
        <v>1</v>
      </c>
      <c r="P764" s="4" t="s">
        <v>47</v>
      </c>
      <c r="Q764" s="4">
        <v>1</v>
      </c>
      <c r="R764" s="4" t="s">
        <v>48</v>
      </c>
      <c r="S764" s="4">
        <v>2042</v>
      </c>
      <c r="T764" s="4">
        <v>15346</v>
      </c>
      <c r="U764" s="4">
        <v>6</v>
      </c>
      <c r="V764" s="4" t="s">
        <v>42</v>
      </c>
      <c r="W764" s="4" t="s">
        <v>35</v>
      </c>
      <c r="X764" s="4">
        <v>14</v>
      </c>
      <c r="Y764" s="4">
        <v>3</v>
      </c>
      <c r="Z764" s="4">
        <v>2</v>
      </c>
      <c r="AA764" s="4">
        <v>80</v>
      </c>
      <c r="AB764" s="4">
        <v>1</v>
      </c>
      <c r="AC764" s="4">
        <v>6</v>
      </c>
      <c r="AD764" s="4">
        <v>2</v>
      </c>
      <c r="AE764" s="4">
        <v>3</v>
      </c>
      <c r="AF764" s="4">
        <v>3</v>
      </c>
      <c r="AG764" s="4">
        <v>2</v>
      </c>
      <c r="AH764" s="4">
        <v>1</v>
      </c>
      <c r="AI764" s="4">
        <v>2</v>
      </c>
      <c r="AJ764" s="4"/>
      <c r="AK764" s="4"/>
      <c r="AL764" s="4"/>
      <c r="AM764" s="4"/>
      <c r="AN764" s="4"/>
      <c r="AO764" s="4"/>
    </row>
    <row r="765" spans="1:41" x14ac:dyDescent="0.3">
      <c r="A765" s="4">
        <v>34</v>
      </c>
      <c r="B765" s="4" t="s">
        <v>43</v>
      </c>
      <c r="C765" s="4" t="s">
        <v>36</v>
      </c>
      <c r="D765" s="4">
        <v>1333</v>
      </c>
      <c r="E765" s="4" t="s">
        <v>37</v>
      </c>
      <c r="F765" s="4">
        <v>10</v>
      </c>
      <c r="G765" s="4">
        <v>4</v>
      </c>
      <c r="H765" s="4" t="s">
        <v>38</v>
      </c>
      <c r="I765" s="4">
        <v>1</v>
      </c>
      <c r="J765" s="4">
        <v>1055</v>
      </c>
      <c r="K765" s="4">
        <v>3</v>
      </c>
      <c r="L765" s="4" t="s">
        <v>39</v>
      </c>
      <c r="M765" s="4">
        <v>87</v>
      </c>
      <c r="N765" s="4">
        <v>3</v>
      </c>
      <c r="O765" s="4">
        <v>1</v>
      </c>
      <c r="P765" s="4" t="s">
        <v>57</v>
      </c>
      <c r="Q765" s="4">
        <v>3</v>
      </c>
      <c r="R765" s="4" t="s">
        <v>48</v>
      </c>
      <c r="S765" s="4">
        <v>2220</v>
      </c>
      <c r="T765" s="4">
        <v>18410</v>
      </c>
      <c r="U765" s="4">
        <v>1</v>
      </c>
      <c r="V765" s="4" t="s">
        <v>42</v>
      </c>
      <c r="W765" s="4" t="s">
        <v>35</v>
      </c>
      <c r="X765" s="4">
        <v>19</v>
      </c>
      <c r="Y765" s="4">
        <v>3</v>
      </c>
      <c r="Z765" s="4">
        <v>4</v>
      </c>
      <c r="AA765" s="4">
        <v>80</v>
      </c>
      <c r="AB765" s="4">
        <v>1</v>
      </c>
      <c r="AC765" s="4">
        <v>1</v>
      </c>
      <c r="AD765" s="4">
        <v>2</v>
      </c>
      <c r="AE765" s="4">
        <v>3</v>
      </c>
      <c r="AF765" s="4">
        <v>1</v>
      </c>
      <c r="AG765" s="4">
        <v>1</v>
      </c>
      <c r="AH765" s="4">
        <v>0</v>
      </c>
      <c r="AI765" s="4">
        <v>0</v>
      </c>
      <c r="AJ765" s="4"/>
      <c r="AK765" s="4"/>
      <c r="AL765" s="4"/>
      <c r="AM765" s="4"/>
      <c r="AN765" s="4"/>
      <c r="AO765" s="4"/>
    </row>
    <row r="766" spans="1:41" hidden="1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41" hidden="1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41" x14ac:dyDescent="0.3">
      <c r="A768" s="4">
        <v>50</v>
      </c>
      <c r="B768" s="4" t="s">
        <v>43</v>
      </c>
      <c r="C768" s="4" t="s">
        <v>36</v>
      </c>
      <c r="D768" s="4">
        <v>1464</v>
      </c>
      <c r="E768" s="4" t="s">
        <v>45</v>
      </c>
      <c r="F768" s="4">
        <v>2</v>
      </c>
      <c r="G768" s="4">
        <v>4</v>
      </c>
      <c r="H768" s="4" t="s">
        <v>51</v>
      </c>
      <c r="I768" s="4">
        <v>1</v>
      </c>
      <c r="J768" s="4">
        <v>1061</v>
      </c>
      <c r="K768" s="4">
        <v>2</v>
      </c>
      <c r="L768" s="4" t="s">
        <v>46</v>
      </c>
      <c r="M768" s="4">
        <v>62</v>
      </c>
      <c r="N768" s="4">
        <v>3</v>
      </c>
      <c r="O768" s="4">
        <v>5</v>
      </c>
      <c r="P768" s="4" t="s">
        <v>58</v>
      </c>
      <c r="Q768" s="4">
        <v>3</v>
      </c>
      <c r="R768" s="4" t="s">
        <v>48</v>
      </c>
      <c r="S768" s="4">
        <v>19237</v>
      </c>
      <c r="T768" s="4">
        <v>12853</v>
      </c>
      <c r="U768" s="4">
        <v>2</v>
      </c>
      <c r="V768" s="4" t="s">
        <v>42</v>
      </c>
      <c r="W768" s="4" t="s">
        <v>35</v>
      </c>
      <c r="X768" s="4">
        <v>11</v>
      </c>
      <c r="Y768" s="4">
        <v>3</v>
      </c>
      <c r="Z768" s="4">
        <v>4</v>
      </c>
      <c r="AA768" s="4">
        <v>80</v>
      </c>
      <c r="AB768" s="4">
        <v>1</v>
      </c>
      <c r="AC768" s="4">
        <v>29</v>
      </c>
      <c r="AD768" s="4">
        <v>2</v>
      </c>
      <c r="AE768" s="4">
        <v>2</v>
      </c>
      <c r="AF768" s="4">
        <v>8</v>
      </c>
      <c r="AG768" s="4">
        <v>1</v>
      </c>
      <c r="AH768" s="4">
        <v>7</v>
      </c>
      <c r="AI768" s="4">
        <v>7</v>
      </c>
      <c r="AJ768" s="4"/>
      <c r="AK768" s="4"/>
      <c r="AL768" s="4"/>
      <c r="AM768" s="4"/>
      <c r="AN768" s="4"/>
      <c r="AO768" s="4"/>
    </row>
    <row r="769" spans="1:41" hidden="1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41" hidden="1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41" hidden="1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41" hidden="1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41" hidden="1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41" hidden="1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41" hidden="1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41" hidden="1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41" hidden="1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41" x14ac:dyDescent="0.3">
      <c r="A778" s="4">
        <v>20</v>
      </c>
      <c r="B778" s="4" t="s">
        <v>35</v>
      </c>
      <c r="C778" s="4" t="s">
        <v>44</v>
      </c>
      <c r="D778" s="4">
        <v>769</v>
      </c>
      <c r="E778" s="4" t="s">
        <v>37</v>
      </c>
      <c r="F778" s="4">
        <v>9</v>
      </c>
      <c r="G778" s="4">
        <v>3</v>
      </c>
      <c r="H778" s="4" t="s">
        <v>59</v>
      </c>
      <c r="I778" s="4">
        <v>1</v>
      </c>
      <c r="J778" s="4">
        <v>1077</v>
      </c>
      <c r="K778" s="4">
        <v>4</v>
      </c>
      <c r="L778" s="4" t="s">
        <v>39</v>
      </c>
      <c r="M778" s="4">
        <v>54</v>
      </c>
      <c r="N778" s="4">
        <v>3</v>
      </c>
      <c r="O778" s="4">
        <v>1</v>
      </c>
      <c r="P778" s="4" t="s">
        <v>57</v>
      </c>
      <c r="Q778" s="4">
        <v>4</v>
      </c>
      <c r="R778" s="4" t="s">
        <v>41</v>
      </c>
      <c r="S778" s="4">
        <v>2323</v>
      </c>
      <c r="T778" s="4">
        <v>17205</v>
      </c>
      <c r="U778" s="4">
        <v>1</v>
      </c>
      <c r="V778" s="4" t="s">
        <v>42</v>
      </c>
      <c r="W778" s="4" t="s">
        <v>35</v>
      </c>
      <c r="X778" s="4">
        <v>14</v>
      </c>
      <c r="Y778" s="4">
        <v>3</v>
      </c>
      <c r="Z778" s="4">
        <v>2</v>
      </c>
      <c r="AA778" s="4">
        <v>80</v>
      </c>
      <c r="AB778" s="4">
        <v>0</v>
      </c>
      <c r="AC778" s="4">
        <v>2</v>
      </c>
      <c r="AD778" s="4">
        <v>3</v>
      </c>
      <c r="AE778" s="4">
        <v>3</v>
      </c>
      <c r="AF778" s="4">
        <v>2</v>
      </c>
      <c r="AG778" s="4">
        <v>2</v>
      </c>
      <c r="AH778" s="4">
        <v>0</v>
      </c>
      <c r="AI778" s="4">
        <v>2</v>
      </c>
      <c r="AJ778" s="4"/>
      <c r="AK778" s="4"/>
      <c r="AL778" s="4"/>
      <c r="AM778" s="4"/>
      <c r="AN778" s="4"/>
      <c r="AO778" s="4"/>
    </row>
    <row r="779" spans="1:41" hidden="1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41" x14ac:dyDescent="0.3">
      <c r="A780" s="4">
        <v>46</v>
      </c>
      <c r="B780" s="4" t="s">
        <v>43</v>
      </c>
      <c r="C780" s="4" t="s">
        <v>36</v>
      </c>
      <c r="D780" s="4">
        <v>1003</v>
      </c>
      <c r="E780" s="4" t="s">
        <v>45</v>
      </c>
      <c r="F780" s="4">
        <v>8</v>
      </c>
      <c r="G780" s="4">
        <v>4</v>
      </c>
      <c r="H780" s="4" t="s">
        <v>38</v>
      </c>
      <c r="I780" s="4">
        <v>1</v>
      </c>
      <c r="J780" s="4">
        <v>1080</v>
      </c>
      <c r="K780" s="4">
        <v>4</v>
      </c>
      <c r="L780" s="4" t="s">
        <v>39</v>
      </c>
      <c r="M780" s="4">
        <v>74</v>
      </c>
      <c r="N780" s="4">
        <v>2</v>
      </c>
      <c r="O780" s="4">
        <v>2</v>
      </c>
      <c r="P780" s="4" t="s">
        <v>47</v>
      </c>
      <c r="Q780" s="4">
        <v>1</v>
      </c>
      <c r="R780" s="4" t="s">
        <v>52</v>
      </c>
      <c r="S780" s="4">
        <v>4615</v>
      </c>
      <c r="T780" s="4">
        <v>21029</v>
      </c>
      <c r="U780" s="4">
        <v>8</v>
      </c>
      <c r="V780" s="4" t="s">
        <v>42</v>
      </c>
      <c r="W780" s="4" t="s">
        <v>35</v>
      </c>
      <c r="X780" s="4">
        <v>23</v>
      </c>
      <c r="Y780" s="4">
        <v>4</v>
      </c>
      <c r="Z780" s="4">
        <v>1</v>
      </c>
      <c r="AA780" s="4">
        <v>80</v>
      </c>
      <c r="AB780" s="4">
        <v>3</v>
      </c>
      <c r="AC780" s="4">
        <v>19</v>
      </c>
      <c r="AD780" s="4">
        <v>2</v>
      </c>
      <c r="AE780" s="4">
        <v>3</v>
      </c>
      <c r="AF780" s="4">
        <v>16</v>
      </c>
      <c r="AG780" s="4">
        <v>13</v>
      </c>
      <c r="AH780" s="4">
        <v>1</v>
      </c>
      <c r="AI780" s="4">
        <v>7</v>
      </c>
      <c r="AJ780" s="4"/>
      <c r="AK780" s="4"/>
      <c r="AL780" s="4"/>
      <c r="AM780" s="4"/>
      <c r="AN780" s="4"/>
      <c r="AO780" s="4"/>
    </row>
    <row r="781" spans="1:41" x14ac:dyDescent="0.3">
      <c r="A781" s="4">
        <v>51</v>
      </c>
      <c r="B781" s="4" t="s">
        <v>35</v>
      </c>
      <c r="C781" s="4" t="s">
        <v>36</v>
      </c>
      <c r="D781" s="4">
        <v>1323</v>
      </c>
      <c r="E781" s="4" t="s">
        <v>45</v>
      </c>
      <c r="F781" s="4">
        <v>4</v>
      </c>
      <c r="G781" s="4">
        <v>4</v>
      </c>
      <c r="H781" s="4" t="s">
        <v>38</v>
      </c>
      <c r="I781" s="4">
        <v>1</v>
      </c>
      <c r="J781" s="4">
        <v>1081</v>
      </c>
      <c r="K781" s="4">
        <v>1</v>
      </c>
      <c r="L781" s="4" t="s">
        <v>46</v>
      </c>
      <c r="M781" s="4">
        <v>34</v>
      </c>
      <c r="N781" s="4">
        <v>3</v>
      </c>
      <c r="O781" s="4">
        <v>1</v>
      </c>
      <c r="P781" s="4" t="s">
        <v>47</v>
      </c>
      <c r="Q781" s="4">
        <v>3</v>
      </c>
      <c r="R781" s="4" t="s">
        <v>48</v>
      </c>
      <c r="S781" s="4">
        <v>2461</v>
      </c>
      <c r="T781" s="4">
        <v>10332</v>
      </c>
      <c r="U781" s="4">
        <v>9</v>
      </c>
      <c r="V781" s="4" t="s">
        <v>42</v>
      </c>
      <c r="W781" s="4" t="s">
        <v>35</v>
      </c>
      <c r="X781" s="4">
        <v>12</v>
      </c>
      <c r="Y781" s="4">
        <v>3</v>
      </c>
      <c r="Z781" s="4">
        <v>3</v>
      </c>
      <c r="AA781" s="4">
        <v>80</v>
      </c>
      <c r="AB781" s="4">
        <v>3</v>
      </c>
      <c r="AC781" s="4">
        <v>18</v>
      </c>
      <c r="AD781" s="4">
        <v>2</v>
      </c>
      <c r="AE781" s="4">
        <v>4</v>
      </c>
      <c r="AF781" s="4">
        <v>10</v>
      </c>
      <c r="AG781" s="4">
        <v>0</v>
      </c>
      <c r="AH781" s="4">
        <v>2</v>
      </c>
      <c r="AI781" s="4">
        <v>7</v>
      </c>
      <c r="AJ781" s="4"/>
      <c r="AK781" s="4"/>
      <c r="AL781" s="4"/>
      <c r="AM781" s="4"/>
      <c r="AN781" s="4"/>
      <c r="AO781" s="4"/>
    </row>
    <row r="782" spans="1:41" hidden="1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41" hidden="1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41" hidden="1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41" hidden="1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41" hidden="1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41" hidden="1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41" hidden="1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41" hidden="1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41" hidden="1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41" hidden="1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41" hidden="1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41" x14ac:dyDescent="0.3">
      <c r="A793" s="4">
        <v>35</v>
      </c>
      <c r="B793" s="4" t="s">
        <v>35</v>
      </c>
      <c r="C793" s="4" t="s">
        <v>36</v>
      </c>
      <c r="D793" s="4">
        <v>1204</v>
      </c>
      <c r="E793" s="4" t="s">
        <v>37</v>
      </c>
      <c r="F793" s="4">
        <v>4</v>
      </c>
      <c r="G793" s="4">
        <v>3</v>
      </c>
      <c r="H793" s="4" t="s">
        <v>60</v>
      </c>
      <c r="I793" s="4">
        <v>1</v>
      </c>
      <c r="J793" s="4">
        <v>1100</v>
      </c>
      <c r="K793" s="4">
        <v>4</v>
      </c>
      <c r="L793" s="4" t="s">
        <v>46</v>
      </c>
      <c r="M793" s="4">
        <v>86</v>
      </c>
      <c r="N793" s="4">
        <v>3</v>
      </c>
      <c r="O793" s="4">
        <v>3</v>
      </c>
      <c r="P793" s="4" t="s">
        <v>40</v>
      </c>
      <c r="Q793" s="4">
        <v>1</v>
      </c>
      <c r="R793" s="4" t="s">
        <v>41</v>
      </c>
      <c r="S793" s="4">
        <v>9582</v>
      </c>
      <c r="T793" s="4">
        <v>10333</v>
      </c>
      <c r="U793" s="4">
        <v>0</v>
      </c>
      <c r="V793" s="4" t="s">
        <v>42</v>
      </c>
      <c r="W793" s="4" t="s">
        <v>35</v>
      </c>
      <c r="X793" s="4">
        <v>22</v>
      </c>
      <c r="Y793" s="4">
        <v>4</v>
      </c>
      <c r="Z793" s="4">
        <v>1</v>
      </c>
      <c r="AA793" s="4">
        <v>80</v>
      </c>
      <c r="AB793" s="4">
        <v>0</v>
      </c>
      <c r="AC793" s="4">
        <v>9</v>
      </c>
      <c r="AD793" s="4">
        <v>2</v>
      </c>
      <c r="AE793" s="4">
        <v>3</v>
      </c>
      <c r="AF793" s="4">
        <v>8</v>
      </c>
      <c r="AG793" s="4">
        <v>7</v>
      </c>
      <c r="AH793" s="4">
        <v>4</v>
      </c>
      <c r="AI793" s="4">
        <v>7</v>
      </c>
      <c r="AJ793" s="4"/>
      <c r="AK793" s="4"/>
      <c r="AL793" s="4"/>
      <c r="AM793" s="4"/>
      <c r="AN793" s="4"/>
      <c r="AO793" s="4"/>
    </row>
    <row r="794" spans="1:41" hidden="1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41" hidden="1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41" hidden="1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41" x14ac:dyDescent="0.3">
      <c r="A797" s="4">
        <v>37</v>
      </c>
      <c r="B797" s="4" t="s">
        <v>43</v>
      </c>
      <c r="C797" s="4" t="s">
        <v>36</v>
      </c>
      <c r="D797" s="4">
        <v>309</v>
      </c>
      <c r="E797" s="4" t="s">
        <v>37</v>
      </c>
      <c r="F797" s="4">
        <v>10</v>
      </c>
      <c r="G797" s="4">
        <v>4</v>
      </c>
      <c r="H797" s="4" t="s">
        <v>38</v>
      </c>
      <c r="I797" s="4">
        <v>1</v>
      </c>
      <c r="J797" s="4">
        <v>1105</v>
      </c>
      <c r="K797" s="4">
        <v>4</v>
      </c>
      <c r="L797" s="4" t="s">
        <v>39</v>
      </c>
      <c r="M797" s="4">
        <v>88</v>
      </c>
      <c r="N797" s="4">
        <v>2</v>
      </c>
      <c r="O797" s="4">
        <v>2</v>
      </c>
      <c r="P797" s="4" t="s">
        <v>40</v>
      </c>
      <c r="Q797" s="4">
        <v>4</v>
      </c>
      <c r="R797" s="4" t="s">
        <v>52</v>
      </c>
      <c r="S797" s="4">
        <v>6694</v>
      </c>
      <c r="T797" s="4">
        <v>24223</v>
      </c>
      <c r="U797" s="4">
        <v>2</v>
      </c>
      <c r="V797" s="4" t="s">
        <v>42</v>
      </c>
      <c r="W797" s="4" t="s">
        <v>35</v>
      </c>
      <c r="X797" s="4">
        <v>14</v>
      </c>
      <c r="Y797" s="4">
        <v>3</v>
      </c>
      <c r="Z797" s="4">
        <v>3</v>
      </c>
      <c r="AA797" s="4">
        <v>80</v>
      </c>
      <c r="AB797" s="4">
        <v>3</v>
      </c>
      <c r="AC797" s="4">
        <v>8</v>
      </c>
      <c r="AD797" s="4">
        <v>5</v>
      </c>
      <c r="AE797" s="4">
        <v>3</v>
      </c>
      <c r="AF797" s="4">
        <v>1</v>
      </c>
      <c r="AG797" s="4">
        <v>0</v>
      </c>
      <c r="AH797" s="4">
        <v>0</v>
      </c>
      <c r="AI797" s="4">
        <v>0</v>
      </c>
      <c r="AJ797" s="4"/>
      <c r="AK797" s="4"/>
      <c r="AL797" s="4"/>
      <c r="AM797" s="4"/>
      <c r="AN797" s="4"/>
      <c r="AO797" s="4"/>
    </row>
    <row r="798" spans="1:41" x14ac:dyDescent="0.3">
      <c r="A798" s="4">
        <v>25</v>
      </c>
      <c r="B798" s="4" t="s">
        <v>35</v>
      </c>
      <c r="C798" s="4" t="s">
        <v>36</v>
      </c>
      <c r="D798" s="4">
        <v>1219</v>
      </c>
      <c r="E798" s="4" t="s">
        <v>45</v>
      </c>
      <c r="F798" s="4">
        <v>4</v>
      </c>
      <c r="G798" s="4">
        <v>1</v>
      </c>
      <c r="H798" s="4" t="s">
        <v>60</v>
      </c>
      <c r="I798" s="4">
        <v>1</v>
      </c>
      <c r="J798" s="4">
        <v>1106</v>
      </c>
      <c r="K798" s="4">
        <v>4</v>
      </c>
      <c r="L798" s="4" t="s">
        <v>46</v>
      </c>
      <c r="M798" s="4">
        <v>32</v>
      </c>
      <c r="N798" s="4">
        <v>3</v>
      </c>
      <c r="O798" s="4">
        <v>1</v>
      </c>
      <c r="P798" s="4" t="s">
        <v>50</v>
      </c>
      <c r="Q798" s="4">
        <v>4</v>
      </c>
      <c r="R798" s="4" t="s">
        <v>48</v>
      </c>
      <c r="S798" s="4">
        <v>3691</v>
      </c>
      <c r="T798" s="4">
        <v>4605</v>
      </c>
      <c r="U798" s="4">
        <v>1</v>
      </c>
      <c r="V798" s="4" t="s">
        <v>42</v>
      </c>
      <c r="W798" s="4" t="s">
        <v>35</v>
      </c>
      <c r="X798" s="4">
        <v>15</v>
      </c>
      <c r="Y798" s="4">
        <v>3</v>
      </c>
      <c r="Z798" s="4">
        <v>2</v>
      </c>
      <c r="AA798" s="4">
        <v>80</v>
      </c>
      <c r="AB798" s="4">
        <v>1</v>
      </c>
      <c r="AC798" s="4">
        <v>7</v>
      </c>
      <c r="AD798" s="4">
        <v>3</v>
      </c>
      <c r="AE798" s="4">
        <v>4</v>
      </c>
      <c r="AF798" s="4">
        <v>7</v>
      </c>
      <c r="AG798" s="4">
        <v>7</v>
      </c>
      <c r="AH798" s="4">
        <v>5</v>
      </c>
      <c r="AI798" s="4">
        <v>6</v>
      </c>
      <c r="AJ798" s="4"/>
      <c r="AK798" s="4"/>
      <c r="AL798" s="4"/>
      <c r="AM798" s="4"/>
      <c r="AN798" s="4"/>
      <c r="AO798" s="4"/>
    </row>
    <row r="799" spans="1:41" hidden="1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41" x14ac:dyDescent="0.3">
      <c r="A800" s="4">
        <v>33</v>
      </c>
      <c r="B800" s="4" t="s">
        <v>35</v>
      </c>
      <c r="C800" s="4" t="s">
        <v>36</v>
      </c>
      <c r="D800" s="4">
        <v>1017</v>
      </c>
      <c r="E800" s="4" t="s">
        <v>45</v>
      </c>
      <c r="F800" s="4">
        <v>25</v>
      </c>
      <c r="G800" s="4">
        <v>3</v>
      </c>
      <c r="H800" s="4" t="s">
        <v>51</v>
      </c>
      <c r="I800" s="4">
        <v>1</v>
      </c>
      <c r="J800" s="4">
        <v>1108</v>
      </c>
      <c r="K800" s="4">
        <v>1</v>
      </c>
      <c r="L800" s="4" t="s">
        <v>46</v>
      </c>
      <c r="M800" s="4">
        <v>55</v>
      </c>
      <c r="N800" s="4">
        <v>2</v>
      </c>
      <c r="O800" s="4">
        <v>1</v>
      </c>
      <c r="P800" s="4" t="s">
        <v>47</v>
      </c>
      <c r="Q800" s="4">
        <v>2</v>
      </c>
      <c r="R800" s="4" t="s">
        <v>41</v>
      </c>
      <c r="S800" s="4">
        <v>2313</v>
      </c>
      <c r="T800" s="4">
        <v>2993</v>
      </c>
      <c r="U800" s="4">
        <v>4</v>
      </c>
      <c r="V800" s="4" t="s">
        <v>42</v>
      </c>
      <c r="W800" s="4" t="s">
        <v>35</v>
      </c>
      <c r="X800" s="4">
        <v>20</v>
      </c>
      <c r="Y800" s="4">
        <v>4</v>
      </c>
      <c r="Z800" s="4">
        <v>2</v>
      </c>
      <c r="AA800" s="4">
        <v>80</v>
      </c>
      <c r="AB800" s="4">
        <v>0</v>
      </c>
      <c r="AC800" s="4">
        <v>5</v>
      </c>
      <c r="AD800" s="4">
        <v>0</v>
      </c>
      <c r="AE800" s="4">
        <v>3</v>
      </c>
      <c r="AF800" s="4">
        <v>2</v>
      </c>
      <c r="AG800" s="4">
        <v>2</v>
      </c>
      <c r="AH800" s="4">
        <v>2</v>
      </c>
      <c r="AI800" s="4">
        <v>2</v>
      </c>
      <c r="AJ800" s="4"/>
      <c r="AK800" s="4"/>
      <c r="AL800" s="4"/>
      <c r="AM800" s="4"/>
      <c r="AN800" s="4"/>
      <c r="AO800" s="4"/>
    </row>
    <row r="801" spans="1:41" hidden="1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41" hidden="1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41" x14ac:dyDescent="0.3">
      <c r="A803" s="4">
        <v>50</v>
      </c>
      <c r="B803" s="4" t="s">
        <v>35</v>
      </c>
      <c r="C803" s="4" t="s">
        <v>44</v>
      </c>
      <c r="D803" s="4">
        <v>959</v>
      </c>
      <c r="E803" s="4" t="s">
        <v>37</v>
      </c>
      <c r="F803" s="4">
        <v>1</v>
      </c>
      <c r="G803" s="4">
        <v>4</v>
      </c>
      <c r="H803" s="4" t="s">
        <v>49</v>
      </c>
      <c r="I803" s="4">
        <v>1</v>
      </c>
      <c r="J803" s="4">
        <v>1113</v>
      </c>
      <c r="K803" s="4">
        <v>4</v>
      </c>
      <c r="L803" s="4" t="s">
        <v>46</v>
      </c>
      <c r="M803" s="4">
        <v>81</v>
      </c>
      <c r="N803" s="4">
        <v>3</v>
      </c>
      <c r="O803" s="4">
        <v>2</v>
      </c>
      <c r="P803" s="4" t="s">
        <v>40</v>
      </c>
      <c r="Q803" s="4">
        <v>3</v>
      </c>
      <c r="R803" s="4" t="s">
        <v>41</v>
      </c>
      <c r="S803" s="4">
        <v>4728</v>
      </c>
      <c r="T803" s="4">
        <v>17251</v>
      </c>
      <c r="U803" s="4">
        <v>3</v>
      </c>
      <c r="V803" s="4" t="s">
        <v>42</v>
      </c>
      <c r="W803" s="4" t="s">
        <v>35</v>
      </c>
      <c r="X803" s="4">
        <v>14</v>
      </c>
      <c r="Y803" s="4">
        <v>3</v>
      </c>
      <c r="Z803" s="4">
        <v>4</v>
      </c>
      <c r="AA803" s="4">
        <v>80</v>
      </c>
      <c r="AB803" s="4">
        <v>0</v>
      </c>
      <c r="AC803" s="4">
        <v>5</v>
      </c>
      <c r="AD803" s="4">
        <v>4</v>
      </c>
      <c r="AE803" s="4">
        <v>3</v>
      </c>
      <c r="AF803" s="4">
        <v>0</v>
      </c>
      <c r="AG803" s="4">
        <v>0</v>
      </c>
      <c r="AH803" s="4">
        <v>0</v>
      </c>
      <c r="AI803" s="4">
        <v>0</v>
      </c>
      <c r="AJ803" s="4"/>
      <c r="AK803" s="4"/>
      <c r="AL803" s="4"/>
      <c r="AM803" s="4"/>
      <c r="AN803" s="4"/>
      <c r="AO803" s="4"/>
    </row>
    <row r="804" spans="1:41" hidden="1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41" hidden="1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41" hidden="1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41" hidden="1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41" hidden="1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41" x14ac:dyDescent="0.3">
      <c r="A809" s="4">
        <v>38</v>
      </c>
      <c r="B809" s="4" t="s">
        <v>43</v>
      </c>
      <c r="C809" s="4" t="s">
        <v>36</v>
      </c>
      <c r="D809" s="4">
        <v>770</v>
      </c>
      <c r="E809" s="4" t="s">
        <v>37</v>
      </c>
      <c r="F809" s="4">
        <v>10</v>
      </c>
      <c r="G809" s="4">
        <v>4</v>
      </c>
      <c r="H809" s="4" t="s">
        <v>59</v>
      </c>
      <c r="I809" s="4">
        <v>1</v>
      </c>
      <c r="J809" s="4">
        <v>1119</v>
      </c>
      <c r="K809" s="4">
        <v>3</v>
      </c>
      <c r="L809" s="4" t="s">
        <v>46</v>
      </c>
      <c r="M809" s="4">
        <v>73</v>
      </c>
      <c r="N809" s="4">
        <v>2</v>
      </c>
      <c r="O809" s="4">
        <v>3</v>
      </c>
      <c r="P809" s="4" t="s">
        <v>40</v>
      </c>
      <c r="Q809" s="4">
        <v>3</v>
      </c>
      <c r="R809" s="4" t="s">
        <v>52</v>
      </c>
      <c r="S809" s="4">
        <v>8740</v>
      </c>
      <c r="T809" s="4">
        <v>5569</v>
      </c>
      <c r="U809" s="4">
        <v>0</v>
      </c>
      <c r="V809" s="4" t="s">
        <v>42</v>
      </c>
      <c r="W809" s="4" t="s">
        <v>35</v>
      </c>
      <c r="X809" s="4">
        <v>14</v>
      </c>
      <c r="Y809" s="4">
        <v>3</v>
      </c>
      <c r="Z809" s="4">
        <v>2</v>
      </c>
      <c r="AA809" s="4">
        <v>80</v>
      </c>
      <c r="AB809" s="4">
        <v>2</v>
      </c>
      <c r="AC809" s="4">
        <v>9</v>
      </c>
      <c r="AD809" s="4">
        <v>2</v>
      </c>
      <c r="AE809" s="4">
        <v>3</v>
      </c>
      <c r="AF809" s="4">
        <v>8</v>
      </c>
      <c r="AG809" s="4">
        <v>7</v>
      </c>
      <c r="AH809" s="4">
        <v>2</v>
      </c>
      <c r="AI809" s="4">
        <v>7</v>
      </c>
      <c r="AJ809" s="4"/>
      <c r="AK809" s="4"/>
      <c r="AL809" s="4"/>
      <c r="AM809" s="4"/>
      <c r="AN809" s="4"/>
      <c r="AO809" s="4"/>
    </row>
    <row r="810" spans="1:41" hidden="1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41" hidden="1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41" hidden="1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41" hidden="1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41" hidden="1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41" hidden="1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41" hidden="1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41" x14ac:dyDescent="0.3">
      <c r="A817" s="4">
        <v>21</v>
      </c>
      <c r="B817" s="4" t="s">
        <v>43</v>
      </c>
      <c r="C817" s="4" t="s">
        <v>36</v>
      </c>
      <c r="D817" s="4">
        <v>984</v>
      </c>
      <c r="E817" s="4" t="s">
        <v>45</v>
      </c>
      <c r="F817" s="4">
        <v>1</v>
      </c>
      <c r="G817" s="4">
        <v>1</v>
      </c>
      <c r="H817" s="4" t="s">
        <v>60</v>
      </c>
      <c r="I817" s="4">
        <v>1</v>
      </c>
      <c r="J817" s="4">
        <v>1131</v>
      </c>
      <c r="K817" s="4">
        <v>4</v>
      </c>
      <c r="L817" s="4" t="s">
        <v>39</v>
      </c>
      <c r="M817" s="4">
        <v>70</v>
      </c>
      <c r="N817" s="4">
        <v>2</v>
      </c>
      <c r="O817" s="4">
        <v>1</v>
      </c>
      <c r="P817" s="4" t="s">
        <v>47</v>
      </c>
      <c r="Q817" s="4">
        <v>2</v>
      </c>
      <c r="R817" s="4" t="s">
        <v>41</v>
      </c>
      <c r="S817" s="4">
        <v>2070</v>
      </c>
      <c r="T817" s="4">
        <v>25326</v>
      </c>
      <c r="U817" s="4">
        <v>1</v>
      </c>
      <c r="V817" s="4" t="s">
        <v>42</v>
      </c>
      <c r="W817" s="4" t="s">
        <v>35</v>
      </c>
      <c r="X817" s="4">
        <v>11</v>
      </c>
      <c r="Y817" s="4">
        <v>3</v>
      </c>
      <c r="Z817" s="4">
        <v>3</v>
      </c>
      <c r="AA817" s="4">
        <v>80</v>
      </c>
      <c r="AB817" s="4">
        <v>0</v>
      </c>
      <c r="AC817" s="4">
        <v>2</v>
      </c>
      <c r="AD817" s="4">
        <v>6</v>
      </c>
      <c r="AE817" s="4">
        <v>4</v>
      </c>
      <c r="AF817" s="4">
        <v>2</v>
      </c>
      <c r="AG817" s="4">
        <v>2</v>
      </c>
      <c r="AH817" s="4">
        <v>2</v>
      </c>
      <c r="AI817" s="4">
        <v>2</v>
      </c>
      <c r="AJ817" s="4"/>
      <c r="AK817" s="4"/>
      <c r="AL817" s="4"/>
      <c r="AM817" s="4"/>
      <c r="AN817" s="4"/>
      <c r="AO817" s="4"/>
    </row>
    <row r="818" spans="1:41" hidden="1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41" hidden="1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41" hidden="1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41" hidden="1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41" hidden="1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41" hidden="1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41" hidden="1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41" hidden="1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41" hidden="1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41" x14ac:dyDescent="0.3">
      <c r="A827" s="4">
        <v>29</v>
      </c>
      <c r="B827" s="4" t="s">
        <v>43</v>
      </c>
      <c r="C827" s="4" t="s">
        <v>36</v>
      </c>
      <c r="D827" s="4">
        <v>718</v>
      </c>
      <c r="E827" s="4" t="s">
        <v>45</v>
      </c>
      <c r="F827" s="4">
        <v>8</v>
      </c>
      <c r="G827" s="4">
        <v>1</v>
      </c>
      <c r="H827" s="4" t="s">
        <v>51</v>
      </c>
      <c r="I827" s="4">
        <v>1</v>
      </c>
      <c r="J827" s="4">
        <v>1150</v>
      </c>
      <c r="K827" s="4">
        <v>2</v>
      </c>
      <c r="L827" s="4" t="s">
        <v>46</v>
      </c>
      <c r="M827" s="4">
        <v>79</v>
      </c>
      <c r="N827" s="4">
        <v>2</v>
      </c>
      <c r="O827" s="4">
        <v>2</v>
      </c>
      <c r="P827" s="4" t="s">
        <v>53</v>
      </c>
      <c r="Q827" s="4">
        <v>4</v>
      </c>
      <c r="R827" s="4" t="s">
        <v>48</v>
      </c>
      <c r="S827" s="4">
        <v>5056</v>
      </c>
      <c r="T827" s="4">
        <v>17689</v>
      </c>
      <c r="U827" s="4">
        <v>1</v>
      </c>
      <c r="V827" s="4" t="s">
        <v>42</v>
      </c>
      <c r="W827" s="4" t="s">
        <v>35</v>
      </c>
      <c r="X827" s="4">
        <v>15</v>
      </c>
      <c r="Y827" s="4">
        <v>3</v>
      </c>
      <c r="Z827" s="4">
        <v>3</v>
      </c>
      <c r="AA827" s="4">
        <v>80</v>
      </c>
      <c r="AB827" s="4">
        <v>1</v>
      </c>
      <c r="AC827" s="4">
        <v>10</v>
      </c>
      <c r="AD827" s="4">
        <v>2</v>
      </c>
      <c r="AE827" s="4">
        <v>2</v>
      </c>
      <c r="AF827" s="4">
        <v>10</v>
      </c>
      <c r="AG827" s="4">
        <v>7</v>
      </c>
      <c r="AH827" s="4">
        <v>1</v>
      </c>
      <c r="AI827" s="4">
        <v>2</v>
      </c>
      <c r="AJ827" s="4"/>
      <c r="AK827" s="4"/>
      <c r="AL827" s="4"/>
      <c r="AM827" s="4"/>
      <c r="AN827" s="4"/>
      <c r="AO827" s="4"/>
    </row>
    <row r="828" spans="1:41" hidden="1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41" x14ac:dyDescent="0.3">
      <c r="A829" s="4">
        <v>28</v>
      </c>
      <c r="B829" s="4" t="s">
        <v>43</v>
      </c>
      <c r="C829" s="4" t="s">
        <v>44</v>
      </c>
      <c r="D829" s="4">
        <v>773</v>
      </c>
      <c r="E829" s="4" t="s">
        <v>45</v>
      </c>
      <c r="F829" s="4">
        <v>6</v>
      </c>
      <c r="G829" s="4">
        <v>3</v>
      </c>
      <c r="H829" s="4" t="s">
        <v>38</v>
      </c>
      <c r="I829" s="4">
        <v>1</v>
      </c>
      <c r="J829" s="4">
        <v>1154</v>
      </c>
      <c r="K829" s="4">
        <v>3</v>
      </c>
      <c r="L829" s="4" t="s">
        <v>46</v>
      </c>
      <c r="M829" s="4">
        <v>39</v>
      </c>
      <c r="N829" s="4">
        <v>2</v>
      </c>
      <c r="O829" s="4">
        <v>1</v>
      </c>
      <c r="P829" s="4" t="s">
        <v>47</v>
      </c>
      <c r="Q829" s="4">
        <v>3</v>
      </c>
      <c r="R829" s="4" t="s">
        <v>52</v>
      </c>
      <c r="S829" s="4">
        <v>2703</v>
      </c>
      <c r="T829" s="4">
        <v>22088</v>
      </c>
      <c r="U829" s="4">
        <v>1</v>
      </c>
      <c r="V829" s="4" t="s">
        <v>42</v>
      </c>
      <c r="W829" s="4" t="s">
        <v>35</v>
      </c>
      <c r="X829" s="4">
        <v>14</v>
      </c>
      <c r="Y829" s="4">
        <v>3</v>
      </c>
      <c r="Z829" s="4">
        <v>4</v>
      </c>
      <c r="AA829" s="4">
        <v>80</v>
      </c>
      <c r="AB829" s="4">
        <v>1</v>
      </c>
      <c r="AC829" s="4">
        <v>3</v>
      </c>
      <c r="AD829" s="4">
        <v>2</v>
      </c>
      <c r="AE829" s="4">
        <v>3</v>
      </c>
      <c r="AF829" s="4">
        <v>3</v>
      </c>
      <c r="AG829" s="4">
        <v>1</v>
      </c>
      <c r="AH829" s="4">
        <v>0</v>
      </c>
      <c r="AI829" s="4">
        <v>2</v>
      </c>
      <c r="AJ829" s="4"/>
      <c r="AK829" s="4"/>
      <c r="AL829" s="4"/>
      <c r="AM829" s="4"/>
      <c r="AN829" s="4"/>
      <c r="AO829" s="4"/>
    </row>
    <row r="830" spans="1:41" hidden="1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41" x14ac:dyDescent="0.3">
      <c r="A831" s="4">
        <v>33</v>
      </c>
      <c r="B831" s="4" t="s">
        <v>35</v>
      </c>
      <c r="C831" s="4" t="s">
        <v>36</v>
      </c>
      <c r="D831" s="4">
        <v>603</v>
      </c>
      <c r="E831" s="4" t="s">
        <v>37</v>
      </c>
      <c r="F831" s="4">
        <v>9</v>
      </c>
      <c r="G831" s="4">
        <v>4</v>
      </c>
      <c r="H831" s="4" t="s">
        <v>59</v>
      </c>
      <c r="I831" s="4">
        <v>1</v>
      </c>
      <c r="J831" s="4">
        <v>1157</v>
      </c>
      <c r="K831" s="4">
        <v>1</v>
      </c>
      <c r="L831" s="4" t="s">
        <v>39</v>
      </c>
      <c r="M831" s="4">
        <v>77</v>
      </c>
      <c r="N831" s="4">
        <v>3</v>
      </c>
      <c r="O831" s="4">
        <v>2</v>
      </c>
      <c r="P831" s="4" t="s">
        <v>40</v>
      </c>
      <c r="Q831" s="4">
        <v>1</v>
      </c>
      <c r="R831" s="4" t="s">
        <v>41</v>
      </c>
      <c r="S831" s="4">
        <v>8224</v>
      </c>
      <c r="T831" s="4">
        <v>18385</v>
      </c>
      <c r="U831" s="4">
        <v>0</v>
      </c>
      <c r="V831" s="4" t="s">
        <v>42</v>
      </c>
      <c r="W831" s="4" t="s">
        <v>35</v>
      </c>
      <c r="X831" s="4">
        <v>17</v>
      </c>
      <c r="Y831" s="4">
        <v>3</v>
      </c>
      <c r="Z831" s="4">
        <v>1</v>
      </c>
      <c r="AA831" s="4">
        <v>80</v>
      </c>
      <c r="AB831" s="4">
        <v>0</v>
      </c>
      <c r="AC831" s="4">
        <v>6</v>
      </c>
      <c r="AD831" s="4">
        <v>3</v>
      </c>
      <c r="AE831" s="4">
        <v>3</v>
      </c>
      <c r="AF831" s="4">
        <v>5</v>
      </c>
      <c r="AG831" s="4">
        <v>2</v>
      </c>
      <c r="AH831" s="4">
        <v>0</v>
      </c>
      <c r="AI831" s="4">
        <v>3</v>
      </c>
      <c r="AJ831" s="4"/>
      <c r="AK831" s="4"/>
      <c r="AL831" s="4"/>
      <c r="AM831" s="4"/>
      <c r="AN831" s="4"/>
      <c r="AO831" s="4"/>
    </row>
    <row r="832" spans="1:41" x14ac:dyDescent="0.3">
      <c r="A832" s="4">
        <v>41</v>
      </c>
      <c r="B832" s="4" t="s">
        <v>43</v>
      </c>
      <c r="C832" s="4" t="s">
        <v>36</v>
      </c>
      <c r="D832" s="4">
        <v>167</v>
      </c>
      <c r="E832" s="4" t="s">
        <v>45</v>
      </c>
      <c r="F832" s="4">
        <v>12</v>
      </c>
      <c r="G832" s="4">
        <v>4</v>
      </c>
      <c r="H832" s="4" t="s">
        <v>38</v>
      </c>
      <c r="I832" s="4">
        <v>1</v>
      </c>
      <c r="J832" s="4">
        <v>1158</v>
      </c>
      <c r="K832" s="4">
        <v>2</v>
      </c>
      <c r="L832" s="4" t="s">
        <v>46</v>
      </c>
      <c r="M832" s="4">
        <v>46</v>
      </c>
      <c r="N832" s="4">
        <v>3</v>
      </c>
      <c r="O832" s="4">
        <v>1</v>
      </c>
      <c r="P832" s="4" t="s">
        <v>50</v>
      </c>
      <c r="Q832" s="4">
        <v>4</v>
      </c>
      <c r="R832" s="4" t="s">
        <v>48</v>
      </c>
      <c r="S832" s="4">
        <v>4766</v>
      </c>
      <c r="T832" s="4">
        <v>9051</v>
      </c>
      <c r="U832" s="4">
        <v>3</v>
      </c>
      <c r="V832" s="4" t="s">
        <v>42</v>
      </c>
      <c r="W832" s="4" t="s">
        <v>35</v>
      </c>
      <c r="X832" s="4">
        <v>11</v>
      </c>
      <c r="Y832" s="4">
        <v>3</v>
      </c>
      <c r="Z832" s="4">
        <v>1</v>
      </c>
      <c r="AA832" s="4">
        <v>80</v>
      </c>
      <c r="AB832" s="4">
        <v>1</v>
      </c>
      <c r="AC832" s="4">
        <v>6</v>
      </c>
      <c r="AD832" s="4">
        <v>4</v>
      </c>
      <c r="AE832" s="4">
        <v>3</v>
      </c>
      <c r="AF832" s="4">
        <v>1</v>
      </c>
      <c r="AG832" s="4">
        <v>0</v>
      </c>
      <c r="AH832" s="4">
        <v>0</v>
      </c>
      <c r="AI832" s="4">
        <v>0</v>
      </c>
      <c r="AJ832" s="4"/>
      <c r="AK832" s="4"/>
      <c r="AL832" s="4"/>
      <c r="AM832" s="4"/>
      <c r="AN832" s="4"/>
      <c r="AO832" s="4"/>
    </row>
    <row r="833" spans="1:41" hidden="1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41" hidden="1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41" hidden="1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41" hidden="1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41" hidden="1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41" hidden="1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41" hidden="1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41" x14ac:dyDescent="0.3">
      <c r="A840" s="4">
        <v>42</v>
      </c>
      <c r="B840" s="4" t="s">
        <v>35</v>
      </c>
      <c r="C840" s="4" t="s">
        <v>44</v>
      </c>
      <c r="D840" s="4">
        <v>481</v>
      </c>
      <c r="E840" s="4" t="s">
        <v>37</v>
      </c>
      <c r="F840" s="4">
        <v>12</v>
      </c>
      <c r="G840" s="4">
        <v>3</v>
      </c>
      <c r="H840" s="4" t="s">
        <v>38</v>
      </c>
      <c r="I840" s="4">
        <v>1</v>
      </c>
      <c r="J840" s="4">
        <v>1167</v>
      </c>
      <c r="K840" s="4">
        <v>3</v>
      </c>
      <c r="L840" s="4" t="s">
        <v>46</v>
      </c>
      <c r="M840" s="4">
        <v>44</v>
      </c>
      <c r="N840" s="4">
        <v>3</v>
      </c>
      <c r="O840" s="4">
        <v>4</v>
      </c>
      <c r="P840" s="4" t="s">
        <v>40</v>
      </c>
      <c r="Q840" s="4">
        <v>1</v>
      </c>
      <c r="R840" s="4" t="s">
        <v>41</v>
      </c>
      <c r="S840" s="4">
        <v>13758</v>
      </c>
      <c r="T840" s="4">
        <v>2447</v>
      </c>
      <c r="U840" s="4">
        <v>0</v>
      </c>
      <c r="V840" s="4" t="s">
        <v>42</v>
      </c>
      <c r="W840" s="4" t="s">
        <v>35</v>
      </c>
      <c r="X840" s="4">
        <v>12</v>
      </c>
      <c r="Y840" s="4">
        <v>3</v>
      </c>
      <c r="Z840" s="4">
        <v>2</v>
      </c>
      <c r="AA840" s="4">
        <v>80</v>
      </c>
      <c r="AB840" s="4">
        <v>0</v>
      </c>
      <c r="AC840" s="4">
        <v>22</v>
      </c>
      <c r="AD840" s="4">
        <v>2</v>
      </c>
      <c r="AE840" s="4">
        <v>2</v>
      </c>
      <c r="AF840" s="4">
        <v>21</v>
      </c>
      <c r="AG840" s="4">
        <v>9</v>
      </c>
      <c r="AH840" s="4">
        <v>13</v>
      </c>
      <c r="AI840" s="4">
        <v>14</v>
      </c>
      <c r="AJ840" s="4"/>
      <c r="AK840" s="4"/>
      <c r="AL840" s="4"/>
      <c r="AM840" s="4"/>
      <c r="AN840" s="4"/>
      <c r="AO840" s="4"/>
    </row>
    <row r="841" spans="1:41" hidden="1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41" hidden="1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41" hidden="1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41" x14ac:dyDescent="0.3">
      <c r="A844" s="4">
        <v>28</v>
      </c>
      <c r="B844" s="4" t="s">
        <v>35</v>
      </c>
      <c r="C844" s="4" t="s">
        <v>36</v>
      </c>
      <c r="D844" s="4">
        <v>1485</v>
      </c>
      <c r="E844" s="4" t="s">
        <v>45</v>
      </c>
      <c r="F844" s="4">
        <v>12</v>
      </c>
      <c r="G844" s="4">
        <v>1</v>
      </c>
      <c r="H844" s="4" t="s">
        <v>38</v>
      </c>
      <c r="I844" s="4">
        <v>1</v>
      </c>
      <c r="J844" s="4">
        <v>1175</v>
      </c>
      <c r="K844" s="4">
        <v>3</v>
      </c>
      <c r="L844" s="4" t="s">
        <v>39</v>
      </c>
      <c r="M844" s="4">
        <v>79</v>
      </c>
      <c r="N844" s="4">
        <v>3</v>
      </c>
      <c r="O844" s="4">
        <v>1</v>
      </c>
      <c r="P844" s="4" t="s">
        <v>50</v>
      </c>
      <c r="Q844" s="4">
        <v>4</v>
      </c>
      <c r="R844" s="4" t="s">
        <v>48</v>
      </c>
      <c r="S844" s="4">
        <v>2515</v>
      </c>
      <c r="T844" s="4">
        <v>22955</v>
      </c>
      <c r="U844" s="4">
        <v>1</v>
      </c>
      <c r="V844" s="4" t="s">
        <v>42</v>
      </c>
      <c r="W844" s="4" t="s">
        <v>35</v>
      </c>
      <c r="X844" s="4">
        <v>11</v>
      </c>
      <c r="Y844" s="4">
        <v>3</v>
      </c>
      <c r="Z844" s="4">
        <v>4</v>
      </c>
      <c r="AA844" s="4">
        <v>80</v>
      </c>
      <c r="AB844" s="4">
        <v>0</v>
      </c>
      <c r="AC844" s="4">
        <v>1</v>
      </c>
      <c r="AD844" s="4">
        <v>4</v>
      </c>
      <c r="AE844" s="4">
        <v>2</v>
      </c>
      <c r="AF844" s="4">
        <v>1</v>
      </c>
      <c r="AG844" s="4">
        <v>1</v>
      </c>
      <c r="AH844" s="4">
        <v>0</v>
      </c>
      <c r="AI844" s="4">
        <v>0</v>
      </c>
      <c r="AJ844" s="4"/>
      <c r="AK844" s="4"/>
      <c r="AL844" s="4"/>
      <c r="AM844" s="4"/>
      <c r="AN844" s="4"/>
      <c r="AO844" s="4"/>
    </row>
    <row r="845" spans="1:41" hidden="1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41" hidden="1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41" x14ac:dyDescent="0.3">
      <c r="A847" s="4">
        <v>40</v>
      </c>
      <c r="B847" s="4" t="s">
        <v>43</v>
      </c>
      <c r="C847" s="4" t="s">
        <v>44</v>
      </c>
      <c r="D847" s="4">
        <v>902</v>
      </c>
      <c r="E847" s="4" t="s">
        <v>45</v>
      </c>
      <c r="F847" s="4">
        <v>26</v>
      </c>
      <c r="G847" s="4">
        <v>2</v>
      </c>
      <c r="H847" s="4" t="s">
        <v>51</v>
      </c>
      <c r="I847" s="4">
        <v>1</v>
      </c>
      <c r="J847" s="4">
        <v>1180</v>
      </c>
      <c r="K847" s="4">
        <v>3</v>
      </c>
      <c r="L847" s="4" t="s">
        <v>39</v>
      </c>
      <c r="M847" s="4">
        <v>92</v>
      </c>
      <c r="N847" s="4">
        <v>2</v>
      </c>
      <c r="O847" s="4">
        <v>2</v>
      </c>
      <c r="P847" s="4" t="s">
        <v>47</v>
      </c>
      <c r="Q847" s="4">
        <v>4</v>
      </c>
      <c r="R847" s="4" t="s">
        <v>48</v>
      </c>
      <c r="S847" s="4">
        <v>4422</v>
      </c>
      <c r="T847" s="4">
        <v>21203</v>
      </c>
      <c r="U847" s="4">
        <v>3</v>
      </c>
      <c r="V847" s="4" t="s">
        <v>42</v>
      </c>
      <c r="W847" s="4" t="s">
        <v>35</v>
      </c>
      <c r="X847" s="4">
        <v>13</v>
      </c>
      <c r="Y847" s="4">
        <v>3</v>
      </c>
      <c r="Z847" s="4">
        <v>4</v>
      </c>
      <c r="AA847" s="4">
        <v>80</v>
      </c>
      <c r="AB847" s="4">
        <v>1</v>
      </c>
      <c r="AC847" s="4">
        <v>16</v>
      </c>
      <c r="AD847" s="4">
        <v>3</v>
      </c>
      <c r="AE847" s="4">
        <v>1</v>
      </c>
      <c r="AF847" s="4">
        <v>1</v>
      </c>
      <c r="AG847" s="4">
        <v>1</v>
      </c>
      <c r="AH847" s="4">
        <v>0</v>
      </c>
      <c r="AI847" s="4">
        <v>0</v>
      </c>
      <c r="AJ847" s="4"/>
      <c r="AK847" s="4"/>
      <c r="AL847" s="4"/>
      <c r="AM847" s="4"/>
      <c r="AN847" s="4"/>
      <c r="AO847" s="4"/>
    </row>
    <row r="848" spans="1:41" hidden="1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41" hidden="1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41" hidden="1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41" hidden="1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41" hidden="1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41" hidden="1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41" hidden="1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41" hidden="1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41" x14ac:dyDescent="0.3">
      <c r="A856" s="4">
        <v>45</v>
      </c>
      <c r="B856" s="4" t="s">
        <v>43</v>
      </c>
      <c r="C856" s="4" t="s">
        <v>36</v>
      </c>
      <c r="D856" s="4">
        <v>1457</v>
      </c>
      <c r="E856" s="4" t="s">
        <v>45</v>
      </c>
      <c r="F856" s="4">
        <v>7</v>
      </c>
      <c r="G856" s="4">
        <v>3</v>
      </c>
      <c r="H856" s="4" t="s">
        <v>51</v>
      </c>
      <c r="I856" s="4">
        <v>1</v>
      </c>
      <c r="J856" s="4">
        <v>1195</v>
      </c>
      <c r="K856" s="4">
        <v>1</v>
      </c>
      <c r="L856" s="4" t="s">
        <v>39</v>
      </c>
      <c r="M856" s="4">
        <v>83</v>
      </c>
      <c r="N856" s="4">
        <v>3</v>
      </c>
      <c r="O856" s="4">
        <v>1</v>
      </c>
      <c r="P856" s="4" t="s">
        <v>47</v>
      </c>
      <c r="Q856" s="4">
        <v>3</v>
      </c>
      <c r="R856" s="4" t="s">
        <v>48</v>
      </c>
      <c r="S856" s="4">
        <v>4477</v>
      </c>
      <c r="T856" s="4">
        <v>20100</v>
      </c>
      <c r="U856" s="4">
        <v>4</v>
      </c>
      <c r="V856" s="4" t="s">
        <v>42</v>
      </c>
      <c r="W856" s="4" t="s">
        <v>35</v>
      </c>
      <c r="X856" s="4">
        <v>19</v>
      </c>
      <c r="Y856" s="4">
        <v>3</v>
      </c>
      <c r="Z856" s="4">
        <v>3</v>
      </c>
      <c r="AA856" s="4">
        <v>80</v>
      </c>
      <c r="AB856" s="4">
        <v>1</v>
      </c>
      <c r="AC856" s="4">
        <v>7</v>
      </c>
      <c r="AD856" s="4">
        <v>2</v>
      </c>
      <c r="AE856" s="4">
        <v>2</v>
      </c>
      <c r="AF856" s="4">
        <v>3</v>
      </c>
      <c r="AG856" s="4">
        <v>2</v>
      </c>
      <c r="AH856" s="4">
        <v>0</v>
      </c>
      <c r="AI856" s="4">
        <v>2</v>
      </c>
      <c r="AJ856" s="4"/>
      <c r="AK856" s="4"/>
      <c r="AL856" s="4"/>
      <c r="AM856" s="4"/>
      <c r="AN856" s="4"/>
      <c r="AO856" s="4"/>
    </row>
    <row r="857" spans="1:41" hidden="1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41" hidden="1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41" x14ac:dyDescent="0.3">
      <c r="A859" s="4">
        <v>44</v>
      </c>
      <c r="B859" s="4" t="s">
        <v>35</v>
      </c>
      <c r="C859" s="4" t="s">
        <v>36</v>
      </c>
      <c r="D859" s="4">
        <v>1097</v>
      </c>
      <c r="E859" s="4" t="s">
        <v>45</v>
      </c>
      <c r="F859" s="4">
        <v>10</v>
      </c>
      <c r="G859" s="4">
        <v>4</v>
      </c>
      <c r="H859" s="4" t="s">
        <v>38</v>
      </c>
      <c r="I859" s="4">
        <v>1</v>
      </c>
      <c r="J859" s="4">
        <v>1200</v>
      </c>
      <c r="K859" s="4">
        <v>3</v>
      </c>
      <c r="L859" s="4" t="s">
        <v>46</v>
      </c>
      <c r="M859" s="4">
        <v>96</v>
      </c>
      <c r="N859" s="4">
        <v>3</v>
      </c>
      <c r="O859" s="4">
        <v>1</v>
      </c>
      <c r="P859" s="4" t="s">
        <v>47</v>
      </c>
      <c r="Q859" s="4">
        <v>3</v>
      </c>
      <c r="R859" s="4" t="s">
        <v>41</v>
      </c>
      <c r="S859" s="4">
        <v>2936</v>
      </c>
      <c r="T859" s="4">
        <v>10826</v>
      </c>
      <c r="U859" s="4">
        <v>1</v>
      </c>
      <c r="V859" s="4" t="s">
        <v>42</v>
      </c>
      <c r="W859" s="4" t="s">
        <v>35</v>
      </c>
      <c r="X859" s="4">
        <v>11</v>
      </c>
      <c r="Y859" s="4">
        <v>3</v>
      </c>
      <c r="Z859" s="4">
        <v>3</v>
      </c>
      <c r="AA859" s="4">
        <v>80</v>
      </c>
      <c r="AB859" s="4">
        <v>0</v>
      </c>
      <c r="AC859" s="4">
        <v>6</v>
      </c>
      <c r="AD859" s="4">
        <v>4</v>
      </c>
      <c r="AE859" s="4">
        <v>3</v>
      </c>
      <c r="AF859" s="4">
        <v>6</v>
      </c>
      <c r="AG859" s="4">
        <v>4</v>
      </c>
      <c r="AH859" s="4">
        <v>0</v>
      </c>
      <c r="AI859" s="4">
        <v>2</v>
      </c>
      <c r="AJ859" s="4"/>
      <c r="AK859" s="4"/>
      <c r="AL859" s="4"/>
      <c r="AM859" s="4"/>
      <c r="AN859" s="4"/>
      <c r="AO859" s="4"/>
    </row>
    <row r="860" spans="1:41" hidden="1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41" x14ac:dyDescent="0.3">
      <c r="A861" s="4">
        <v>29</v>
      </c>
      <c r="B861" s="4" t="s">
        <v>43</v>
      </c>
      <c r="C861" s="4" t="s">
        <v>36</v>
      </c>
      <c r="D861" s="4">
        <v>942</v>
      </c>
      <c r="E861" s="4" t="s">
        <v>45</v>
      </c>
      <c r="F861" s="4">
        <v>15</v>
      </c>
      <c r="G861" s="4">
        <v>1</v>
      </c>
      <c r="H861" s="4" t="s">
        <v>38</v>
      </c>
      <c r="I861" s="4">
        <v>1</v>
      </c>
      <c r="J861" s="4">
        <v>1202</v>
      </c>
      <c r="K861" s="4">
        <v>2</v>
      </c>
      <c r="L861" s="4" t="s">
        <v>39</v>
      </c>
      <c r="M861" s="4">
        <v>69</v>
      </c>
      <c r="N861" s="4">
        <v>1</v>
      </c>
      <c r="O861" s="4">
        <v>1</v>
      </c>
      <c r="P861" s="4" t="s">
        <v>47</v>
      </c>
      <c r="Q861" s="4">
        <v>4</v>
      </c>
      <c r="R861" s="4" t="s">
        <v>48</v>
      </c>
      <c r="S861" s="4">
        <v>2168</v>
      </c>
      <c r="T861" s="4">
        <v>26933</v>
      </c>
      <c r="U861" s="4">
        <v>0</v>
      </c>
      <c r="V861" s="4" t="s">
        <v>42</v>
      </c>
      <c r="W861" s="4" t="s">
        <v>35</v>
      </c>
      <c r="X861" s="4">
        <v>18</v>
      </c>
      <c r="Y861" s="4">
        <v>3</v>
      </c>
      <c r="Z861" s="4">
        <v>1</v>
      </c>
      <c r="AA861" s="4">
        <v>80</v>
      </c>
      <c r="AB861" s="4">
        <v>1</v>
      </c>
      <c r="AC861" s="4">
        <v>6</v>
      </c>
      <c r="AD861" s="4">
        <v>2</v>
      </c>
      <c r="AE861" s="4">
        <v>2</v>
      </c>
      <c r="AF861" s="4">
        <v>5</v>
      </c>
      <c r="AG861" s="4">
        <v>4</v>
      </c>
      <c r="AH861" s="4">
        <v>1</v>
      </c>
      <c r="AI861" s="4">
        <v>3</v>
      </c>
      <c r="AJ861" s="4"/>
      <c r="AK861" s="4"/>
      <c r="AL861" s="4"/>
      <c r="AM861" s="4"/>
      <c r="AN861" s="4"/>
      <c r="AO861" s="4"/>
    </row>
    <row r="862" spans="1:41" x14ac:dyDescent="0.3">
      <c r="A862" s="4">
        <v>22</v>
      </c>
      <c r="B862" s="4" t="s">
        <v>35</v>
      </c>
      <c r="C862" s="4" t="s">
        <v>44</v>
      </c>
      <c r="D862" s="4">
        <v>1256</v>
      </c>
      <c r="E862" s="4" t="s">
        <v>45</v>
      </c>
      <c r="F862" s="4">
        <v>3</v>
      </c>
      <c r="G862" s="4">
        <v>4</v>
      </c>
      <c r="H862" s="4" t="s">
        <v>38</v>
      </c>
      <c r="I862" s="4">
        <v>1</v>
      </c>
      <c r="J862" s="4">
        <v>1203</v>
      </c>
      <c r="K862" s="4">
        <v>3</v>
      </c>
      <c r="L862" s="4" t="s">
        <v>46</v>
      </c>
      <c r="M862" s="4">
        <v>48</v>
      </c>
      <c r="N862" s="4">
        <v>2</v>
      </c>
      <c r="O862" s="4">
        <v>1</v>
      </c>
      <c r="P862" s="4" t="s">
        <v>47</v>
      </c>
      <c r="Q862" s="4">
        <v>4</v>
      </c>
      <c r="R862" s="4" t="s">
        <v>48</v>
      </c>
      <c r="S862" s="4">
        <v>2853</v>
      </c>
      <c r="T862" s="4">
        <v>4223</v>
      </c>
      <c r="U862" s="4">
        <v>0</v>
      </c>
      <c r="V862" s="4" t="s">
        <v>42</v>
      </c>
      <c r="W862" s="4" t="s">
        <v>35</v>
      </c>
      <c r="X862" s="4">
        <v>11</v>
      </c>
      <c r="Y862" s="4">
        <v>3</v>
      </c>
      <c r="Z862" s="4">
        <v>2</v>
      </c>
      <c r="AA862" s="4">
        <v>80</v>
      </c>
      <c r="AB862" s="4">
        <v>1</v>
      </c>
      <c r="AC862" s="4">
        <v>1</v>
      </c>
      <c r="AD862" s="4">
        <v>5</v>
      </c>
      <c r="AE862" s="4">
        <v>3</v>
      </c>
      <c r="AF862" s="4">
        <v>0</v>
      </c>
      <c r="AG862" s="4">
        <v>0</v>
      </c>
      <c r="AH862" s="4">
        <v>0</v>
      </c>
      <c r="AI862" s="4">
        <v>0</v>
      </c>
      <c r="AJ862" s="4"/>
      <c r="AK862" s="4"/>
      <c r="AL862" s="4"/>
      <c r="AM862" s="4"/>
      <c r="AN862" s="4"/>
      <c r="AO862" s="4"/>
    </row>
    <row r="863" spans="1:41" hidden="1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41" hidden="1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41" hidden="1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41" hidden="1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41" hidden="1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41" hidden="1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41" hidden="1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41" hidden="1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41" hidden="1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41" x14ac:dyDescent="0.3">
      <c r="A872" s="4">
        <v>35</v>
      </c>
      <c r="B872" s="4" t="s">
        <v>43</v>
      </c>
      <c r="C872" s="4" t="s">
        <v>36</v>
      </c>
      <c r="D872" s="4">
        <v>1361</v>
      </c>
      <c r="E872" s="4" t="s">
        <v>37</v>
      </c>
      <c r="F872" s="4">
        <v>17</v>
      </c>
      <c r="G872" s="4">
        <v>4</v>
      </c>
      <c r="H872" s="4" t="s">
        <v>38</v>
      </c>
      <c r="I872" s="4">
        <v>1</v>
      </c>
      <c r="J872" s="4">
        <v>1218</v>
      </c>
      <c r="K872" s="4">
        <v>3</v>
      </c>
      <c r="L872" s="4" t="s">
        <v>46</v>
      </c>
      <c r="M872" s="4">
        <v>94</v>
      </c>
      <c r="N872" s="4">
        <v>3</v>
      </c>
      <c r="O872" s="4">
        <v>2</v>
      </c>
      <c r="P872" s="4" t="s">
        <v>40</v>
      </c>
      <c r="Q872" s="4">
        <v>1</v>
      </c>
      <c r="R872" s="4" t="s">
        <v>48</v>
      </c>
      <c r="S872" s="4">
        <v>8966</v>
      </c>
      <c r="T872" s="4">
        <v>21026</v>
      </c>
      <c r="U872" s="4">
        <v>3</v>
      </c>
      <c r="V872" s="4" t="s">
        <v>42</v>
      </c>
      <c r="W872" s="4" t="s">
        <v>35</v>
      </c>
      <c r="X872" s="4">
        <v>15</v>
      </c>
      <c r="Y872" s="4">
        <v>3</v>
      </c>
      <c r="Z872" s="4">
        <v>4</v>
      </c>
      <c r="AA872" s="4">
        <v>80</v>
      </c>
      <c r="AB872" s="4">
        <v>3</v>
      </c>
      <c r="AC872" s="4">
        <v>15</v>
      </c>
      <c r="AD872" s="4">
        <v>2</v>
      </c>
      <c r="AE872" s="4">
        <v>3</v>
      </c>
      <c r="AF872" s="4">
        <v>7</v>
      </c>
      <c r="AG872" s="4">
        <v>7</v>
      </c>
      <c r="AH872" s="4">
        <v>1</v>
      </c>
      <c r="AI872" s="4">
        <v>7</v>
      </c>
      <c r="AJ872" s="4"/>
      <c r="AK872" s="4"/>
      <c r="AL872" s="4"/>
      <c r="AM872" s="4"/>
      <c r="AN872" s="4"/>
      <c r="AO872" s="4"/>
    </row>
    <row r="873" spans="1:41" hidden="1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41" hidden="1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41" hidden="1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41" hidden="1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41" hidden="1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41" hidden="1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41" hidden="1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41" hidden="1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41" x14ac:dyDescent="0.3">
      <c r="A881" s="4">
        <v>60</v>
      </c>
      <c r="B881" s="4" t="s">
        <v>43</v>
      </c>
      <c r="C881" s="4" t="s">
        <v>36</v>
      </c>
      <c r="D881" s="4">
        <v>696</v>
      </c>
      <c r="E881" s="4" t="s">
        <v>37</v>
      </c>
      <c r="F881" s="4">
        <v>7</v>
      </c>
      <c r="G881" s="4">
        <v>4</v>
      </c>
      <c r="H881" s="4" t="s">
        <v>59</v>
      </c>
      <c r="I881" s="4">
        <v>1</v>
      </c>
      <c r="J881" s="4">
        <v>1233</v>
      </c>
      <c r="K881" s="4">
        <v>2</v>
      </c>
      <c r="L881" s="4" t="s">
        <v>46</v>
      </c>
      <c r="M881" s="4">
        <v>52</v>
      </c>
      <c r="N881" s="4">
        <v>4</v>
      </c>
      <c r="O881" s="4">
        <v>2</v>
      </c>
      <c r="P881" s="4" t="s">
        <v>40</v>
      </c>
      <c r="Q881" s="4">
        <v>4</v>
      </c>
      <c r="R881" s="4" t="s">
        <v>52</v>
      </c>
      <c r="S881" s="4">
        <v>5220</v>
      </c>
      <c r="T881" s="4">
        <v>10893</v>
      </c>
      <c r="U881" s="4">
        <v>0</v>
      </c>
      <c r="V881" s="4" t="s">
        <v>42</v>
      </c>
      <c r="W881" s="4" t="s">
        <v>35</v>
      </c>
      <c r="X881" s="4">
        <v>18</v>
      </c>
      <c r="Y881" s="4">
        <v>3</v>
      </c>
      <c r="Z881" s="4">
        <v>2</v>
      </c>
      <c r="AA881" s="4">
        <v>80</v>
      </c>
      <c r="AB881" s="4">
        <v>1</v>
      </c>
      <c r="AC881" s="4">
        <v>12</v>
      </c>
      <c r="AD881" s="4">
        <v>3</v>
      </c>
      <c r="AE881" s="4">
        <v>3</v>
      </c>
      <c r="AF881" s="4">
        <v>11</v>
      </c>
      <c r="AG881" s="4">
        <v>7</v>
      </c>
      <c r="AH881" s="4">
        <v>1</v>
      </c>
      <c r="AI881" s="4">
        <v>9</v>
      </c>
      <c r="AJ881" s="4"/>
      <c r="AK881" s="4"/>
      <c r="AL881" s="4"/>
      <c r="AM881" s="4"/>
      <c r="AN881" s="4"/>
      <c r="AO881" s="4"/>
    </row>
    <row r="882" spans="1:41" hidden="1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41" x14ac:dyDescent="0.3">
      <c r="A883" s="4">
        <v>32</v>
      </c>
      <c r="B883" s="4" t="s">
        <v>43</v>
      </c>
      <c r="C883" s="4" t="s">
        <v>44</v>
      </c>
      <c r="D883" s="4">
        <v>1316</v>
      </c>
      <c r="E883" s="4" t="s">
        <v>45</v>
      </c>
      <c r="F883" s="4">
        <v>2</v>
      </c>
      <c r="G883" s="4">
        <v>2</v>
      </c>
      <c r="H883" s="4" t="s">
        <v>38</v>
      </c>
      <c r="I883" s="4">
        <v>1</v>
      </c>
      <c r="J883" s="4">
        <v>1235</v>
      </c>
      <c r="K883" s="4">
        <v>4</v>
      </c>
      <c r="L883" s="4" t="s">
        <v>39</v>
      </c>
      <c r="M883" s="4">
        <v>38</v>
      </c>
      <c r="N883" s="4">
        <v>3</v>
      </c>
      <c r="O883" s="4">
        <v>2</v>
      </c>
      <c r="P883" s="4" t="s">
        <v>47</v>
      </c>
      <c r="Q883" s="4">
        <v>3</v>
      </c>
      <c r="R883" s="4" t="s">
        <v>41</v>
      </c>
      <c r="S883" s="4">
        <v>4998</v>
      </c>
      <c r="T883" s="4">
        <v>2338</v>
      </c>
      <c r="U883" s="4">
        <v>4</v>
      </c>
      <c r="V883" s="4" t="s">
        <v>42</v>
      </c>
      <c r="W883" s="4" t="s">
        <v>35</v>
      </c>
      <c r="X883" s="4">
        <v>14</v>
      </c>
      <c r="Y883" s="4">
        <v>3</v>
      </c>
      <c r="Z883" s="4">
        <v>4</v>
      </c>
      <c r="AA883" s="4">
        <v>80</v>
      </c>
      <c r="AB883" s="4">
        <v>0</v>
      </c>
      <c r="AC883" s="4">
        <v>10</v>
      </c>
      <c r="AD883" s="4">
        <v>2</v>
      </c>
      <c r="AE883" s="4">
        <v>3</v>
      </c>
      <c r="AF883" s="4">
        <v>8</v>
      </c>
      <c r="AG883" s="4">
        <v>7</v>
      </c>
      <c r="AH883" s="4">
        <v>0</v>
      </c>
      <c r="AI883" s="4">
        <v>7</v>
      </c>
      <c r="AJ883" s="4"/>
      <c r="AK883" s="4"/>
      <c r="AL883" s="4"/>
      <c r="AM883" s="4"/>
      <c r="AN883" s="4"/>
      <c r="AO883" s="4"/>
    </row>
    <row r="884" spans="1:41" x14ac:dyDescent="0.3">
      <c r="A884" s="4">
        <v>36</v>
      </c>
      <c r="B884" s="4" t="s">
        <v>43</v>
      </c>
      <c r="C884" s="4" t="s">
        <v>36</v>
      </c>
      <c r="D884" s="4">
        <v>363</v>
      </c>
      <c r="E884" s="4" t="s">
        <v>45</v>
      </c>
      <c r="F884" s="4">
        <v>1</v>
      </c>
      <c r="G884" s="4">
        <v>3</v>
      </c>
      <c r="H884" s="4" t="s">
        <v>60</v>
      </c>
      <c r="I884" s="4">
        <v>1</v>
      </c>
      <c r="J884" s="4">
        <v>1237</v>
      </c>
      <c r="K884" s="4">
        <v>3</v>
      </c>
      <c r="L884" s="4" t="s">
        <v>39</v>
      </c>
      <c r="M884" s="4">
        <v>77</v>
      </c>
      <c r="N884" s="4">
        <v>1</v>
      </c>
      <c r="O884" s="4">
        <v>3</v>
      </c>
      <c r="P884" s="4" t="s">
        <v>53</v>
      </c>
      <c r="Q884" s="4">
        <v>1</v>
      </c>
      <c r="R884" s="4" t="s">
        <v>52</v>
      </c>
      <c r="S884" s="4">
        <v>10252</v>
      </c>
      <c r="T884" s="4">
        <v>4235</v>
      </c>
      <c r="U884" s="4">
        <v>2</v>
      </c>
      <c r="V884" s="4" t="s">
        <v>42</v>
      </c>
      <c r="W884" s="4" t="s">
        <v>35</v>
      </c>
      <c r="X884" s="4">
        <v>21</v>
      </c>
      <c r="Y884" s="4">
        <v>4</v>
      </c>
      <c r="Z884" s="4">
        <v>3</v>
      </c>
      <c r="AA884" s="4">
        <v>80</v>
      </c>
      <c r="AB884" s="4">
        <v>1</v>
      </c>
      <c r="AC884" s="4">
        <v>17</v>
      </c>
      <c r="AD884" s="4">
        <v>2</v>
      </c>
      <c r="AE884" s="4">
        <v>3</v>
      </c>
      <c r="AF884" s="4">
        <v>7</v>
      </c>
      <c r="AG884" s="4">
        <v>7</v>
      </c>
      <c r="AH884" s="4">
        <v>7</v>
      </c>
      <c r="AI884" s="4">
        <v>7</v>
      </c>
      <c r="AJ884" s="4"/>
      <c r="AK884" s="4"/>
      <c r="AL884" s="4"/>
      <c r="AM884" s="4"/>
      <c r="AN884" s="4"/>
      <c r="AO884" s="4"/>
    </row>
    <row r="885" spans="1:41" hidden="1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41" hidden="1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41" hidden="1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41" x14ac:dyDescent="0.3">
      <c r="A888" s="4">
        <v>30</v>
      </c>
      <c r="B888" s="4" t="s">
        <v>43</v>
      </c>
      <c r="C888" s="4" t="s">
        <v>36</v>
      </c>
      <c r="D888" s="4">
        <v>1465</v>
      </c>
      <c r="E888" s="4" t="s">
        <v>45</v>
      </c>
      <c r="F888" s="4">
        <v>1</v>
      </c>
      <c r="G888" s="4">
        <v>3</v>
      </c>
      <c r="H888" s="4" t="s">
        <v>51</v>
      </c>
      <c r="I888" s="4">
        <v>1</v>
      </c>
      <c r="J888" s="4">
        <v>1241</v>
      </c>
      <c r="K888" s="4">
        <v>4</v>
      </c>
      <c r="L888" s="4" t="s">
        <v>46</v>
      </c>
      <c r="M888" s="4">
        <v>63</v>
      </c>
      <c r="N888" s="4">
        <v>3</v>
      </c>
      <c r="O888" s="4">
        <v>1</v>
      </c>
      <c r="P888" s="4" t="s">
        <v>47</v>
      </c>
      <c r="Q888" s="4">
        <v>2</v>
      </c>
      <c r="R888" s="4" t="s">
        <v>48</v>
      </c>
      <c r="S888" s="4">
        <v>3579</v>
      </c>
      <c r="T888" s="4">
        <v>9369</v>
      </c>
      <c r="U888" s="4">
        <v>0</v>
      </c>
      <c r="V888" s="4" t="s">
        <v>42</v>
      </c>
      <c r="W888" s="4" t="s">
        <v>35</v>
      </c>
      <c r="X888" s="4">
        <v>21</v>
      </c>
      <c r="Y888" s="4">
        <v>4</v>
      </c>
      <c r="Z888" s="4">
        <v>1</v>
      </c>
      <c r="AA888" s="4">
        <v>80</v>
      </c>
      <c r="AB888" s="4">
        <v>1</v>
      </c>
      <c r="AC888" s="4">
        <v>12</v>
      </c>
      <c r="AD888" s="4">
        <v>2</v>
      </c>
      <c r="AE888" s="4">
        <v>3</v>
      </c>
      <c r="AF888" s="4">
        <v>11</v>
      </c>
      <c r="AG888" s="4">
        <v>9</v>
      </c>
      <c r="AH888" s="4">
        <v>5</v>
      </c>
      <c r="AI888" s="4">
        <v>7</v>
      </c>
      <c r="AJ888" s="4"/>
      <c r="AK888" s="4"/>
      <c r="AL888" s="4"/>
      <c r="AM888" s="4"/>
      <c r="AN888" s="4"/>
      <c r="AO888" s="4"/>
    </row>
    <row r="889" spans="1:41" x14ac:dyDescent="0.3">
      <c r="A889" s="4">
        <v>42</v>
      </c>
      <c r="B889" s="4" t="s">
        <v>43</v>
      </c>
      <c r="C889" s="4" t="s">
        <v>44</v>
      </c>
      <c r="D889" s="4">
        <v>458</v>
      </c>
      <c r="E889" s="4" t="s">
        <v>45</v>
      </c>
      <c r="F889" s="4">
        <v>26</v>
      </c>
      <c r="G889" s="4">
        <v>5</v>
      </c>
      <c r="H889" s="4" t="s">
        <v>51</v>
      </c>
      <c r="I889" s="4">
        <v>1</v>
      </c>
      <c r="J889" s="4">
        <v>1242</v>
      </c>
      <c r="K889" s="4">
        <v>1</v>
      </c>
      <c r="L889" s="4" t="s">
        <v>39</v>
      </c>
      <c r="M889" s="4">
        <v>60</v>
      </c>
      <c r="N889" s="4">
        <v>3</v>
      </c>
      <c r="O889" s="4">
        <v>3</v>
      </c>
      <c r="P889" s="4" t="s">
        <v>58</v>
      </c>
      <c r="Q889" s="4">
        <v>1</v>
      </c>
      <c r="R889" s="4" t="s">
        <v>48</v>
      </c>
      <c r="S889" s="4">
        <v>13191</v>
      </c>
      <c r="T889" s="4">
        <v>23281</v>
      </c>
      <c r="U889" s="4">
        <v>3</v>
      </c>
      <c r="V889" s="4" t="s">
        <v>42</v>
      </c>
      <c r="W889" s="4" t="s">
        <v>35</v>
      </c>
      <c r="X889" s="4">
        <v>17</v>
      </c>
      <c r="Y889" s="4">
        <v>3</v>
      </c>
      <c r="Z889" s="4">
        <v>3</v>
      </c>
      <c r="AA889" s="4">
        <v>80</v>
      </c>
      <c r="AB889" s="4">
        <v>0</v>
      </c>
      <c r="AC889" s="4">
        <v>20</v>
      </c>
      <c r="AD889" s="4">
        <v>6</v>
      </c>
      <c r="AE889" s="4">
        <v>3</v>
      </c>
      <c r="AF889" s="4">
        <v>1</v>
      </c>
      <c r="AG889" s="4">
        <v>0</v>
      </c>
      <c r="AH889" s="4">
        <v>0</v>
      </c>
      <c r="AI889" s="4">
        <v>0</v>
      </c>
      <c r="AJ889" s="4"/>
      <c r="AK889" s="4"/>
      <c r="AL889" s="4"/>
      <c r="AM889" s="4"/>
      <c r="AN889" s="4"/>
      <c r="AO889" s="4"/>
    </row>
    <row r="890" spans="1:41" x14ac:dyDescent="0.3">
      <c r="A890" s="4">
        <v>35</v>
      </c>
      <c r="B890" s="4" t="s">
        <v>43</v>
      </c>
      <c r="C890" s="4" t="s">
        <v>55</v>
      </c>
      <c r="D890" s="4">
        <v>1212</v>
      </c>
      <c r="E890" s="4" t="s">
        <v>37</v>
      </c>
      <c r="F890" s="4">
        <v>8</v>
      </c>
      <c r="G890" s="4">
        <v>2</v>
      </c>
      <c r="H890" s="4" t="s">
        <v>59</v>
      </c>
      <c r="I890" s="4">
        <v>1</v>
      </c>
      <c r="J890" s="4">
        <v>1243</v>
      </c>
      <c r="K890" s="4">
        <v>3</v>
      </c>
      <c r="L890" s="4" t="s">
        <v>39</v>
      </c>
      <c r="M890" s="4">
        <v>78</v>
      </c>
      <c r="N890" s="4">
        <v>2</v>
      </c>
      <c r="O890" s="4">
        <v>3</v>
      </c>
      <c r="P890" s="4" t="s">
        <v>40</v>
      </c>
      <c r="Q890" s="4">
        <v>4</v>
      </c>
      <c r="R890" s="4" t="s">
        <v>48</v>
      </c>
      <c r="S890" s="4">
        <v>10377</v>
      </c>
      <c r="T890" s="4">
        <v>13755</v>
      </c>
      <c r="U890" s="4">
        <v>4</v>
      </c>
      <c r="V890" s="4" t="s">
        <v>42</v>
      </c>
      <c r="W890" s="4" t="s">
        <v>35</v>
      </c>
      <c r="X890" s="4">
        <v>11</v>
      </c>
      <c r="Y890" s="4">
        <v>3</v>
      </c>
      <c r="Z890" s="4">
        <v>2</v>
      </c>
      <c r="AA890" s="4">
        <v>80</v>
      </c>
      <c r="AB890" s="4">
        <v>1</v>
      </c>
      <c r="AC890" s="4">
        <v>16</v>
      </c>
      <c r="AD890" s="4">
        <v>6</v>
      </c>
      <c r="AE890" s="4">
        <v>2</v>
      </c>
      <c r="AF890" s="4">
        <v>13</v>
      </c>
      <c r="AG890" s="4">
        <v>2</v>
      </c>
      <c r="AH890" s="4">
        <v>4</v>
      </c>
      <c r="AI890" s="4">
        <v>12</v>
      </c>
      <c r="AJ890" s="4"/>
      <c r="AK890" s="4"/>
      <c r="AL890" s="4"/>
      <c r="AM890" s="4"/>
      <c r="AN890" s="4"/>
      <c r="AO890" s="4"/>
    </row>
    <row r="891" spans="1:41" x14ac:dyDescent="0.3">
      <c r="A891" s="4">
        <v>27</v>
      </c>
      <c r="B891" s="4" t="s">
        <v>43</v>
      </c>
      <c r="C891" s="4" t="s">
        <v>36</v>
      </c>
      <c r="D891" s="4">
        <v>1103</v>
      </c>
      <c r="E891" s="4" t="s">
        <v>45</v>
      </c>
      <c r="F891" s="4">
        <v>14</v>
      </c>
      <c r="G891" s="4">
        <v>3</v>
      </c>
      <c r="H891" s="4" t="s">
        <v>38</v>
      </c>
      <c r="I891" s="4">
        <v>1</v>
      </c>
      <c r="J891" s="4">
        <v>1244</v>
      </c>
      <c r="K891" s="4">
        <v>1</v>
      </c>
      <c r="L891" s="4" t="s">
        <v>46</v>
      </c>
      <c r="M891" s="4">
        <v>42</v>
      </c>
      <c r="N891" s="4">
        <v>3</v>
      </c>
      <c r="O891" s="4">
        <v>1</v>
      </c>
      <c r="P891" s="4" t="s">
        <v>47</v>
      </c>
      <c r="Q891" s="4">
        <v>1</v>
      </c>
      <c r="R891" s="4" t="s">
        <v>48</v>
      </c>
      <c r="S891" s="4">
        <v>2235</v>
      </c>
      <c r="T891" s="4">
        <v>14377</v>
      </c>
      <c r="U891" s="4">
        <v>1</v>
      </c>
      <c r="V891" s="4" t="s">
        <v>42</v>
      </c>
      <c r="W891" s="4" t="s">
        <v>35</v>
      </c>
      <c r="X891" s="4">
        <v>14</v>
      </c>
      <c r="Y891" s="4">
        <v>3</v>
      </c>
      <c r="Z891" s="4">
        <v>4</v>
      </c>
      <c r="AA891" s="4">
        <v>80</v>
      </c>
      <c r="AB891" s="4">
        <v>2</v>
      </c>
      <c r="AC891" s="4">
        <v>9</v>
      </c>
      <c r="AD891" s="4">
        <v>3</v>
      </c>
      <c r="AE891" s="4">
        <v>2</v>
      </c>
      <c r="AF891" s="4">
        <v>9</v>
      </c>
      <c r="AG891" s="4">
        <v>7</v>
      </c>
      <c r="AH891" s="4">
        <v>6</v>
      </c>
      <c r="AI891" s="4">
        <v>8</v>
      </c>
      <c r="AJ891" s="4"/>
      <c r="AK891" s="4"/>
      <c r="AL891" s="4"/>
      <c r="AM891" s="4"/>
      <c r="AN891" s="4"/>
      <c r="AO891" s="4"/>
    </row>
    <row r="892" spans="1:41" hidden="1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41" hidden="1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41" x14ac:dyDescent="0.3">
      <c r="A894" s="4">
        <v>19</v>
      </c>
      <c r="B894" s="4" t="s">
        <v>35</v>
      </c>
      <c r="C894" s="4" t="s">
        <v>55</v>
      </c>
      <c r="D894" s="4">
        <v>504</v>
      </c>
      <c r="E894" s="4" t="s">
        <v>45</v>
      </c>
      <c r="F894" s="4">
        <v>10</v>
      </c>
      <c r="G894" s="4">
        <v>3</v>
      </c>
      <c r="H894" s="4" t="s">
        <v>51</v>
      </c>
      <c r="I894" s="4">
        <v>1</v>
      </c>
      <c r="J894" s="4">
        <v>1248</v>
      </c>
      <c r="K894" s="4">
        <v>1</v>
      </c>
      <c r="L894" s="4" t="s">
        <v>39</v>
      </c>
      <c r="M894" s="4">
        <v>96</v>
      </c>
      <c r="N894" s="4">
        <v>2</v>
      </c>
      <c r="O894" s="4">
        <v>1</v>
      </c>
      <c r="P894" s="4" t="s">
        <v>47</v>
      </c>
      <c r="Q894" s="4">
        <v>2</v>
      </c>
      <c r="R894" s="4" t="s">
        <v>41</v>
      </c>
      <c r="S894" s="4">
        <v>1859</v>
      </c>
      <c r="T894" s="4">
        <v>6148</v>
      </c>
      <c r="U894" s="4">
        <v>1</v>
      </c>
      <c r="V894" s="4" t="s">
        <v>42</v>
      </c>
      <c r="W894" s="4" t="s">
        <v>35</v>
      </c>
      <c r="X894" s="4">
        <v>25</v>
      </c>
      <c r="Y894" s="4">
        <v>4</v>
      </c>
      <c r="Z894" s="4">
        <v>2</v>
      </c>
      <c r="AA894" s="4">
        <v>80</v>
      </c>
      <c r="AB894" s="4">
        <v>0</v>
      </c>
      <c r="AC894" s="4">
        <v>1</v>
      </c>
      <c r="AD894" s="4">
        <v>2</v>
      </c>
      <c r="AE894" s="4">
        <v>4</v>
      </c>
      <c r="AF894" s="4">
        <v>1</v>
      </c>
      <c r="AG894" s="4">
        <v>1</v>
      </c>
      <c r="AH894" s="4">
        <v>0</v>
      </c>
      <c r="AI894" s="4">
        <v>0</v>
      </c>
      <c r="AJ894" s="4"/>
      <c r="AK894" s="4"/>
      <c r="AL894" s="4"/>
      <c r="AM894" s="4"/>
      <c r="AN894" s="4"/>
      <c r="AO894" s="4"/>
    </row>
    <row r="895" spans="1:41" hidden="1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41" hidden="1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41" x14ac:dyDescent="0.3">
      <c r="A897" s="4">
        <v>31</v>
      </c>
      <c r="B897" s="4" t="s">
        <v>43</v>
      </c>
      <c r="C897" s="4" t="s">
        <v>36</v>
      </c>
      <c r="D897" s="4">
        <v>1332</v>
      </c>
      <c r="E897" s="4" t="s">
        <v>45</v>
      </c>
      <c r="F897" s="4">
        <v>11</v>
      </c>
      <c r="G897" s="4">
        <v>2</v>
      </c>
      <c r="H897" s="4" t="s">
        <v>51</v>
      </c>
      <c r="I897" s="4">
        <v>1</v>
      </c>
      <c r="J897" s="4">
        <v>1251</v>
      </c>
      <c r="K897" s="4">
        <v>3</v>
      </c>
      <c r="L897" s="4" t="s">
        <v>46</v>
      </c>
      <c r="M897" s="4">
        <v>80</v>
      </c>
      <c r="N897" s="4">
        <v>3</v>
      </c>
      <c r="O897" s="4">
        <v>2</v>
      </c>
      <c r="P897" s="4" t="s">
        <v>54</v>
      </c>
      <c r="Q897" s="4">
        <v>1</v>
      </c>
      <c r="R897" s="4" t="s">
        <v>48</v>
      </c>
      <c r="S897" s="4">
        <v>6833</v>
      </c>
      <c r="T897" s="4">
        <v>17089</v>
      </c>
      <c r="U897" s="4">
        <v>1</v>
      </c>
      <c r="V897" s="4" t="s">
        <v>42</v>
      </c>
      <c r="W897" s="4" t="s">
        <v>35</v>
      </c>
      <c r="X897" s="4">
        <v>12</v>
      </c>
      <c r="Y897" s="4">
        <v>3</v>
      </c>
      <c r="Z897" s="4">
        <v>4</v>
      </c>
      <c r="AA897" s="4">
        <v>80</v>
      </c>
      <c r="AB897" s="4">
        <v>0</v>
      </c>
      <c r="AC897" s="4">
        <v>6</v>
      </c>
      <c r="AD897" s="4">
        <v>2</v>
      </c>
      <c r="AE897" s="4">
        <v>2</v>
      </c>
      <c r="AF897" s="4">
        <v>6</v>
      </c>
      <c r="AG897" s="4">
        <v>5</v>
      </c>
      <c r="AH897" s="4">
        <v>0</v>
      </c>
      <c r="AI897" s="4">
        <v>1</v>
      </c>
      <c r="AJ897" s="4"/>
      <c r="AK897" s="4"/>
      <c r="AL897" s="4"/>
      <c r="AM897" s="4"/>
      <c r="AN897" s="4"/>
      <c r="AO897" s="4"/>
    </row>
    <row r="898" spans="1:41" hidden="1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41" hidden="1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41" hidden="1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41" hidden="1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41" hidden="1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41" hidden="1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41" hidden="1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41" x14ac:dyDescent="0.3">
      <c r="A905" s="4">
        <v>29</v>
      </c>
      <c r="B905" s="4" t="s">
        <v>43</v>
      </c>
      <c r="C905" s="4" t="s">
        <v>36</v>
      </c>
      <c r="D905" s="4">
        <v>1329</v>
      </c>
      <c r="E905" s="4" t="s">
        <v>45</v>
      </c>
      <c r="F905" s="4">
        <v>7</v>
      </c>
      <c r="G905" s="4">
        <v>3</v>
      </c>
      <c r="H905" s="4" t="s">
        <v>38</v>
      </c>
      <c r="I905" s="4">
        <v>1</v>
      </c>
      <c r="J905" s="4">
        <v>1260</v>
      </c>
      <c r="K905" s="4">
        <v>3</v>
      </c>
      <c r="L905" s="4" t="s">
        <v>46</v>
      </c>
      <c r="M905" s="4">
        <v>82</v>
      </c>
      <c r="N905" s="4">
        <v>3</v>
      </c>
      <c r="O905" s="4">
        <v>2</v>
      </c>
      <c r="P905" s="4" t="s">
        <v>54</v>
      </c>
      <c r="Q905" s="4">
        <v>4</v>
      </c>
      <c r="R905" s="4" t="s">
        <v>52</v>
      </c>
      <c r="S905" s="4">
        <v>6623</v>
      </c>
      <c r="T905" s="4">
        <v>4204</v>
      </c>
      <c r="U905" s="4">
        <v>1</v>
      </c>
      <c r="V905" s="4" t="s">
        <v>42</v>
      </c>
      <c r="W905" s="4" t="s">
        <v>35</v>
      </c>
      <c r="X905" s="4">
        <v>11</v>
      </c>
      <c r="Y905" s="4">
        <v>3</v>
      </c>
      <c r="Z905" s="4">
        <v>2</v>
      </c>
      <c r="AA905" s="4">
        <v>80</v>
      </c>
      <c r="AB905" s="4">
        <v>2</v>
      </c>
      <c r="AC905" s="4">
        <v>6</v>
      </c>
      <c r="AD905" s="4">
        <v>2</v>
      </c>
      <c r="AE905" s="4">
        <v>3</v>
      </c>
      <c r="AF905" s="4">
        <v>6</v>
      </c>
      <c r="AG905" s="4">
        <v>0</v>
      </c>
      <c r="AH905" s="4">
        <v>1</v>
      </c>
      <c r="AI905" s="4">
        <v>0</v>
      </c>
      <c r="AJ905" s="4"/>
      <c r="AK905" s="4"/>
      <c r="AL905" s="4"/>
      <c r="AM905" s="4"/>
      <c r="AN905" s="4"/>
      <c r="AO905" s="4"/>
    </row>
    <row r="906" spans="1:41" hidden="1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41" hidden="1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41" hidden="1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41" hidden="1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41" x14ac:dyDescent="0.3">
      <c r="A910" s="4">
        <v>33</v>
      </c>
      <c r="B910" s="4" t="s">
        <v>43</v>
      </c>
      <c r="C910" s="4" t="s">
        <v>36</v>
      </c>
      <c r="D910" s="4">
        <v>536</v>
      </c>
      <c r="E910" s="4" t="s">
        <v>37</v>
      </c>
      <c r="F910" s="4">
        <v>10</v>
      </c>
      <c r="G910" s="4">
        <v>5</v>
      </c>
      <c r="H910" s="4" t="s">
        <v>59</v>
      </c>
      <c r="I910" s="4">
        <v>1</v>
      </c>
      <c r="J910" s="4">
        <v>1268</v>
      </c>
      <c r="K910" s="4">
        <v>4</v>
      </c>
      <c r="L910" s="4" t="s">
        <v>46</v>
      </c>
      <c r="M910" s="4">
        <v>82</v>
      </c>
      <c r="N910" s="4">
        <v>4</v>
      </c>
      <c r="O910" s="4">
        <v>3</v>
      </c>
      <c r="P910" s="4" t="s">
        <v>40</v>
      </c>
      <c r="Q910" s="4">
        <v>3</v>
      </c>
      <c r="R910" s="4" t="s">
        <v>52</v>
      </c>
      <c r="S910" s="4">
        <v>8380</v>
      </c>
      <c r="T910" s="4">
        <v>21708</v>
      </c>
      <c r="U910" s="4">
        <v>0</v>
      </c>
      <c r="V910" s="4" t="s">
        <v>42</v>
      </c>
      <c r="W910" s="4" t="s">
        <v>35</v>
      </c>
      <c r="X910" s="4">
        <v>14</v>
      </c>
      <c r="Y910" s="4">
        <v>3</v>
      </c>
      <c r="Z910" s="4">
        <v>4</v>
      </c>
      <c r="AA910" s="4">
        <v>80</v>
      </c>
      <c r="AB910" s="4">
        <v>2</v>
      </c>
      <c r="AC910" s="4">
        <v>10</v>
      </c>
      <c r="AD910" s="4">
        <v>3</v>
      </c>
      <c r="AE910" s="4">
        <v>3</v>
      </c>
      <c r="AF910" s="4">
        <v>9</v>
      </c>
      <c r="AG910" s="4">
        <v>8</v>
      </c>
      <c r="AH910" s="4">
        <v>0</v>
      </c>
      <c r="AI910" s="4">
        <v>8</v>
      </c>
      <c r="AJ910" s="4"/>
      <c r="AK910" s="4"/>
      <c r="AL910" s="4"/>
      <c r="AM910" s="4"/>
      <c r="AN910" s="4"/>
      <c r="AO910" s="4"/>
    </row>
    <row r="911" spans="1:41" x14ac:dyDescent="0.3">
      <c r="A911" s="4">
        <v>19</v>
      </c>
      <c r="B911" s="4" t="s">
        <v>43</v>
      </c>
      <c r="C911" s="4" t="s">
        <v>36</v>
      </c>
      <c r="D911" s="4">
        <v>265</v>
      </c>
      <c r="E911" s="4" t="s">
        <v>45</v>
      </c>
      <c r="F911" s="4">
        <v>25</v>
      </c>
      <c r="G911" s="4">
        <v>3</v>
      </c>
      <c r="H911" s="4" t="s">
        <v>38</v>
      </c>
      <c r="I911" s="4">
        <v>1</v>
      </c>
      <c r="J911" s="4">
        <v>1269</v>
      </c>
      <c r="K911" s="4">
        <v>2</v>
      </c>
      <c r="L911" s="4" t="s">
        <v>39</v>
      </c>
      <c r="M911" s="4">
        <v>57</v>
      </c>
      <c r="N911" s="4">
        <v>4</v>
      </c>
      <c r="O911" s="4">
        <v>1</v>
      </c>
      <c r="P911" s="4" t="s">
        <v>47</v>
      </c>
      <c r="Q911" s="4">
        <v>4</v>
      </c>
      <c r="R911" s="4" t="s">
        <v>41</v>
      </c>
      <c r="S911" s="4">
        <v>2994</v>
      </c>
      <c r="T911" s="4">
        <v>21221</v>
      </c>
      <c r="U911" s="4">
        <v>1</v>
      </c>
      <c r="V911" s="4" t="s">
        <v>42</v>
      </c>
      <c r="W911" s="4" t="s">
        <v>35</v>
      </c>
      <c r="X911" s="4">
        <v>12</v>
      </c>
      <c r="Y911" s="4">
        <v>3</v>
      </c>
      <c r="Z911" s="4">
        <v>4</v>
      </c>
      <c r="AA911" s="4">
        <v>80</v>
      </c>
      <c r="AB911" s="4">
        <v>0</v>
      </c>
      <c r="AC911" s="4">
        <v>1</v>
      </c>
      <c r="AD911" s="4">
        <v>2</v>
      </c>
      <c r="AE911" s="4">
        <v>3</v>
      </c>
      <c r="AF911" s="4">
        <v>1</v>
      </c>
      <c r="AG911" s="4">
        <v>0</v>
      </c>
      <c r="AH911" s="4">
        <v>0</v>
      </c>
      <c r="AI911" s="4">
        <v>1</v>
      </c>
      <c r="AJ911" s="4"/>
      <c r="AK911" s="4"/>
      <c r="AL911" s="4"/>
      <c r="AM911" s="4"/>
      <c r="AN911" s="4"/>
      <c r="AO911" s="4"/>
    </row>
    <row r="912" spans="1:41" hidden="1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41" x14ac:dyDescent="0.3">
      <c r="A913" s="4">
        <v>25</v>
      </c>
      <c r="B913" s="4" t="s">
        <v>35</v>
      </c>
      <c r="C913" s="4" t="s">
        <v>44</v>
      </c>
      <c r="D913" s="4">
        <v>599</v>
      </c>
      <c r="E913" s="4" t="s">
        <v>37</v>
      </c>
      <c r="F913" s="4">
        <v>24</v>
      </c>
      <c r="G913" s="4">
        <v>1</v>
      </c>
      <c r="H913" s="4" t="s">
        <v>38</v>
      </c>
      <c r="I913" s="4">
        <v>1</v>
      </c>
      <c r="J913" s="4">
        <v>1273</v>
      </c>
      <c r="K913" s="4">
        <v>3</v>
      </c>
      <c r="L913" s="4" t="s">
        <v>46</v>
      </c>
      <c r="M913" s="4">
        <v>73</v>
      </c>
      <c r="N913" s="4">
        <v>1</v>
      </c>
      <c r="O913" s="4">
        <v>1</v>
      </c>
      <c r="P913" s="4" t="s">
        <v>57</v>
      </c>
      <c r="Q913" s="4">
        <v>4</v>
      </c>
      <c r="R913" s="4" t="s">
        <v>41</v>
      </c>
      <c r="S913" s="4">
        <v>1118</v>
      </c>
      <c r="T913" s="4">
        <v>8040</v>
      </c>
      <c r="U913" s="4">
        <v>1</v>
      </c>
      <c r="V913" s="4" t="s">
        <v>42</v>
      </c>
      <c r="W913" s="4" t="s">
        <v>35</v>
      </c>
      <c r="X913" s="4">
        <v>14</v>
      </c>
      <c r="Y913" s="4">
        <v>3</v>
      </c>
      <c r="Z913" s="4">
        <v>4</v>
      </c>
      <c r="AA913" s="4">
        <v>80</v>
      </c>
      <c r="AB913" s="4">
        <v>0</v>
      </c>
      <c r="AC913" s="4">
        <v>1</v>
      </c>
      <c r="AD913" s="4">
        <v>4</v>
      </c>
      <c r="AE913" s="4">
        <v>3</v>
      </c>
      <c r="AF913" s="4">
        <v>1</v>
      </c>
      <c r="AG913" s="4">
        <v>0</v>
      </c>
      <c r="AH913" s="4">
        <v>1</v>
      </c>
      <c r="AI913" s="4">
        <v>0</v>
      </c>
      <c r="AJ913" s="4"/>
      <c r="AK913" s="4"/>
      <c r="AL913" s="4"/>
      <c r="AM913" s="4"/>
      <c r="AN913" s="4"/>
      <c r="AO913" s="4"/>
    </row>
    <row r="914" spans="1:41" x14ac:dyDescent="0.3">
      <c r="A914" s="4">
        <v>26</v>
      </c>
      <c r="B914" s="4" t="s">
        <v>43</v>
      </c>
      <c r="C914" s="4" t="s">
        <v>36</v>
      </c>
      <c r="D914" s="4">
        <v>583</v>
      </c>
      <c r="E914" s="4" t="s">
        <v>45</v>
      </c>
      <c r="F914" s="4">
        <v>4</v>
      </c>
      <c r="G914" s="4">
        <v>2</v>
      </c>
      <c r="H914" s="4" t="s">
        <v>38</v>
      </c>
      <c r="I914" s="4">
        <v>1</v>
      </c>
      <c r="J914" s="4">
        <v>1275</v>
      </c>
      <c r="K914" s="4">
        <v>3</v>
      </c>
      <c r="L914" s="4" t="s">
        <v>46</v>
      </c>
      <c r="M914" s="4">
        <v>53</v>
      </c>
      <c r="N914" s="4">
        <v>3</v>
      </c>
      <c r="O914" s="4">
        <v>1</v>
      </c>
      <c r="P914" s="4" t="s">
        <v>47</v>
      </c>
      <c r="Q914" s="4">
        <v>4</v>
      </c>
      <c r="R914" s="4" t="s">
        <v>41</v>
      </c>
      <c r="S914" s="4">
        <v>2875</v>
      </c>
      <c r="T914" s="4">
        <v>9973</v>
      </c>
      <c r="U914" s="4">
        <v>1</v>
      </c>
      <c r="V914" s="4" t="s">
        <v>42</v>
      </c>
      <c r="W914" s="4" t="s">
        <v>35</v>
      </c>
      <c r="X914" s="4">
        <v>20</v>
      </c>
      <c r="Y914" s="4">
        <v>4</v>
      </c>
      <c r="Z914" s="4">
        <v>2</v>
      </c>
      <c r="AA914" s="4">
        <v>80</v>
      </c>
      <c r="AB914" s="4">
        <v>0</v>
      </c>
      <c r="AC914" s="4">
        <v>8</v>
      </c>
      <c r="AD914" s="4">
        <v>2</v>
      </c>
      <c r="AE914" s="4">
        <v>2</v>
      </c>
      <c r="AF914" s="4">
        <v>8</v>
      </c>
      <c r="AG914" s="4">
        <v>5</v>
      </c>
      <c r="AH914" s="4">
        <v>2</v>
      </c>
      <c r="AI914" s="4">
        <v>2</v>
      </c>
      <c r="AJ914" s="4"/>
      <c r="AK914" s="4"/>
      <c r="AL914" s="4"/>
      <c r="AM914" s="4"/>
      <c r="AN914" s="4"/>
      <c r="AO914" s="4"/>
    </row>
    <row r="915" spans="1:41" x14ac:dyDescent="0.3">
      <c r="A915" s="4">
        <v>45</v>
      </c>
      <c r="B915" s="4" t="s">
        <v>35</v>
      </c>
      <c r="C915" s="4" t="s">
        <v>36</v>
      </c>
      <c r="D915" s="4">
        <v>1449</v>
      </c>
      <c r="E915" s="4" t="s">
        <v>37</v>
      </c>
      <c r="F915" s="4">
        <v>2</v>
      </c>
      <c r="G915" s="4">
        <v>3</v>
      </c>
      <c r="H915" s="4" t="s">
        <v>59</v>
      </c>
      <c r="I915" s="4">
        <v>1</v>
      </c>
      <c r="J915" s="4">
        <v>1277</v>
      </c>
      <c r="K915" s="4">
        <v>1</v>
      </c>
      <c r="L915" s="4" t="s">
        <v>39</v>
      </c>
      <c r="M915" s="4">
        <v>94</v>
      </c>
      <c r="N915" s="4">
        <v>1</v>
      </c>
      <c r="O915" s="4">
        <v>5</v>
      </c>
      <c r="P915" s="4" t="s">
        <v>56</v>
      </c>
      <c r="Q915" s="4">
        <v>2</v>
      </c>
      <c r="R915" s="4" t="s">
        <v>41</v>
      </c>
      <c r="S915" s="4">
        <v>18824</v>
      </c>
      <c r="T915" s="4">
        <v>2493</v>
      </c>
      <c r="U915" s="4">
        <v>2</v>
      </c>
      <c r="V915" s="4" t="s">
        <v>42</v>
      </c>
      <c r="W915" s="4" t="s">
        <v>35</v>
      </c>
      <c r="X915" s="4">
        <v>16</v>
      </c>
      <c r="Y915" s="4">
        <v>3</v>
      </c>
      <c r="Z915" s="4">
        <v>1</v>
      </c>
      <c r="AA915" s="4">
        <v>80</v>
      </c>
      <c r="AB915" s="4">
        <v>0</v>
      </c>
      <c r="AC915" s="4">
        <v>26</v>
      </c>
      <c r="AD915" s="4">
        <v>2</v>
      </c>
      <c r="AE915" s="4">
        <v>3</v>
      </c>
      <c r="AF915" s="4">
        <v>24</v>
      </c>
      <c r="AG915" s="4">
        <v>10</v>
      </c>
      <c r="AH915" s="4">
        <v>1</v>
      </c>
      <c r="AI915" s="4">
        <v>11</v>
      </c>
      <c r="AJ915" s="4"/>
      <c r="AK915" s="4"/>
      <c r="AL915" s="4"/>
      <c r="AM915" s="4"/>
      <c r="AN915" s="4"/>
      <c r="AO915" s="4"/>
    </row>
    <row r="916" spans="1:41" x14ac:dyDescent="0.3">
      <c r="A916" s="4">
        <v>55</v>
      </c>
      <c r="B916" s="4" t="s">
        <v>43</v>
      </c>
      <c r="C916" s="4" t="s">
        <v>55</v>
      </c>
      <c r="D916" s="4">
        <v>177</v>
      </c>
      <c r="E916" s="4" t="s">
        <v>45</v>
      </c>
      <c r="F916" s="4">
        <v>8</v>
      </c>
      <c r="G916" s="4">
        <v>1</v>
      </c>
      <c r="H916" s="4" t="s">
        <v>51</v>
      </c>
      <c r="I916" s="4">
        <v>1</v>
      </c>
      <c r="J916" s="4">
        <v>1278</v>
      </c>
      <c r="K916" s="4">
        <v>4</v>
      </c>
      <c r="L916" s="4" t="s">
        <v>46</v>
      </c>
      <c r="M916" s="4">
        <v>37</v>
      </c>
      <c r="N916" s="4">
        <v>2</v>
      </c>
      <c r="O916" s="4">
        <v>4</v>
      </c>
      <c r="P916" s="4" t="s">
        <v>54</v>
      </c>
      <c r="Q916" s="4">
        <v>2</v>
      </c>
      <c r="R916" s="4" t="s">
        <v>52</v>
      </c>
      <c r="S916" s="4">
        <v>13577</v>
      </c>
      <c r="T916" s="4">
        <v>25592</v>
      </c>
      <c r="U916" s="4">
        <v>1</v>
      </c>
      <c r="V916" s="4" t="s">
        <v>42</v>
      </c>
      <c r="W916" s="4" t="s">
        <v>35</v>
      </c>
      <c r="X916" s="4">
        <v>15</v>
      </c>
      <c r="Y916" s="4">
        <v>3</v>
      </c>
      <c r="Z916" s="4">
        <v>4</v>
      </c>
      <c r="AA916" s="4">
        <v>80</v>
      </c>
      <c r="AB916" s="4">
        <v>1</v>
      </c>
      <c r="AC916" s="4">
        <v>34</v>
      </c>
      <c r="AD916" s="4">
        <v>3</v>
      </c>
      <c r="AE916" s="4">
        <v>3</v>
      </c>
      <c r="AF916" s="4">
        <v>33</v>
      </c>
      <c r="AG916" s="4">
        <v>9</v>
      </c>
      <c r="AH916" s="4">
        <v>15</v>
      </c>
      <c r="AI916" s="4">
        <v>0</v>
      </c>
      <c r="AJ916" s="4"/>
      <c r="AK916" s="4"/>
      <c r="AL916" s="4"/>
      <c r="AM916" s="4"/>
      <c r="AN916" s="4"/>
      <c r="AO916" s="4"/>
    </row>
    <row r="917" spans="1:41" hidden="1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41" hidden="1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41" x14ac:dyDescent="0.3">
      <c r="A919" s="4">
        <v>34</v>
      </c>
      <c r="B919" s="4" t="s">
        <v>43</v>
      </c>
      <c r="C919" s="4" t="s">
        <v>36</v>
      </c>
      <c r="D919" s="4">
        <v>131</v>
      </c>
      <c r="E919" s="4" t="s">
        <v>37</v>
      </c>
      <c r="F919" s="4">
        <v>2</v>
      </c>
      <c r="G919" s="4">
        <v>3</v>
      </c>
      <c r="H919" s="4" t="s">
        <v>59</v>
      </c>
      <c r="I919" s="4">
        <v>1</v>
      </c>
      <c r="J919" s="4">
        <v>1281</v>
      </c>
      <c r="K919" s="4">
        <v>3</v>
      </c>
      <c r="L919" s="4" t="s">
        <v>39</v>
      </c>
      <c r="M919" s="4">
        <v>86</v>
      </c>
      <c r="N919" s="4">
        <v>3</v>
      </c>
      <c r="O919" s="4">
        <v>2</v>
      </c>
      <c r="P919" s="4" t="s">
        <v>40</v>
      </c>
      <c r="Q919" s="4">
        <v>1</v>
      </c>
      <c r="R919" s="4" t="s">
        <v>41</v>
      </c>
      <c r="S919" s="4">
        <v>4538</v>
      </c>
      <c r="T919" s="4">
        <v>6039</v>
      </c>
      <c r="U919" s="4">
        <v>0</v>
      </c>
      <c r="V919" s="4" t="s">
        <v>42</v>
      </c>
      <c r="W919" s="4" t="s">
        <v>35</v>
      </c>
      <c r="X919" s="4">
        <v>12</v>
      </c>
      <c r="Y919" s="4">
        <v>3</v>
      </c>
      <c r="Z919" s="4">
        <v>4</v>
      </c>
      <c r="AA919" s="4">
        <v>80</v>
      </c>
      <c r="AB919" s="4">
        <v>0</v>
      </c>
      <c r="AC919" s="4">
        <v>4</v>
      </c>
      <c r="AD919" s="4">
        <v>3</v>
      </c>
      <c r="AE919" s="4">
        <v>3</v>
      </c>
      <c r="AF919" s="4">
        <v>3</v>
      </c>
      <c r="AG919" s="4">
        <v>2</v>
      </c>
      <c r="AH919" s="4">
        <v>0</v>
      </c>
      <c r="AI919" s="4">
        <v>2</v>
      </c>
      <c r="AJ919" s="4"/>
      <c r="AK919" s="4"/>
      <c r="AL919" s="4"/>
      <c r="AM919" s="4"/>
      <c r="AN919" s="4"/>
      <c r="AO919" s="4"/>
    </row>
    <row r="920" spans="1:41" x14ac:dyDescent="0.3">
      <c r="A920" s="4">
        <v>51</v>
      </c>
      <c r="B920" s="4" t="s">
        <v>43</v>
      </c>
      <c r="C920" s="4" t="s">
        <v>44</v>
      </c>
      <c r="D920" s="4">
        <v>237</v>
      </c>
      <c r="E920" s="4" t="s">
        <v>37</v>
      </c>
      <c r="F920" s="4">
        <v>9</v>
      </c>
      <c r="G920" s="4">
        <v>3</v>
      </c>
      <c r="H920" s="4" t="s">
        <v>38</v>
      </c>
      <c r="I920" s="4">
        <v>1</v>
      </c>
      <c r="J920" s="4">
        <v>1282</v>
      </c>
      <c r="K920" s="4">
        <v>4</v>
      </c>
      <c r="L920" s="4" t="s">
        <v>46</v>
      </c>
      <c r="M920" s="4">
        <v>83</v>
      </c>
      <c r="N920" s="4">
        <v>3</v>
      </c>
      <c r="O920" s="4">
        <v>5</v>
      </c>
      <c r="P920" s="4" t="s">
        <v>56</v>
      </c>
      <c r="Q920" s="4">
        <v>2</v>
      </c>
      <c r="R920" s="4" t="s">
        <v>52</v>
      </c>
      <c r="S920" s="4">
        <v>19847</v>
      </c>
      <c r="T920" s="4">
        <v>19196</v>
      </c>
      <c r="U920" s="4">
        <v>4</v>
      </c>
      <c r="V920" s="4" t="s">
        <v>42</v>
      </c>
      <c r="W920" s="4" t="s">
        <v>35</v>
      </c>
      <c r="X920" s="4">
        <v>24</v>
      </c>
      <c r="Y920" s="4">
        <v>4</v>
      </c>
      <c r="Z920" s="4">
        <v>1</v>
      </c>
      <c r="AA920" s="4">
        <v>80</v>
      </c>
      <c r="AB920" s="4">
        <v>1</v>
      </c>
      <c r="AC920" s="4">
        <v>31</v>
      </c>
      <c r="AD920" s="4">
        <v>5</v>
      </c>
      <c r="AE920" s="4">
        <v>2</v>
      </c>
      <c r="AF920" s="4">
        <v>29</v>
      </c>
      <c r="AG920" s="4">
        <v>10</v>
      </c>
      <c r="AH920" s="4">
        <v>11</v>
      </c>
      <c r="AI920" s="4">
        <v>10</v>
      </c>
      <c r="AJ920" s="4"/>
      <c r="AK920" s="4"/>
      <c r="AL920" s="4"/>
      <c r="AM920" s="4"/>
      <c r="AN920" s="4"/>
      <c r="AO920" s="4"/>
    </row>
    <row r="921" spans="1:41" hidden="1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41" hidden="1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41" x14ac:dyDescent="0.3">
      <c r="A923" s="4">
        <v>28</v>
      </c>
      <c r="B923" s="4" t="s">
        <v>43</v>
      </c>
      <c r="C923" s="4" t="s">
        <v>44</v>
      </c>
      <c r="D923" s="4">
        <v>791</v>
      </c>
      <c r="E923" s="4" t="s">
        <v>45</v>
      </c>
      <c r="F923" s="4">
        <v>1</v>
      </c>
      <c r="G923" s="4">
        <v>4</v>
      </c>
      <c r="H923" s="4" t="s">
        <v>51</v>
      </c>
      <c r="I923" s="4">
        <v>1</v>
      </c>
      <c r="J923" s="4">
        <v>1286</v>
      </c>
      <c r="K923" s="4">
        <v>4</v>
      </c>
      <c r="L923" s="4" t="s">
        <v>46</v>
      </c>
      <c r="M923" s="4">
        <v>44</v>
      </c>
      <c r="N923" s="4">
        <v>3</v>
      </c>
      <c r="O923" s="4">
        <v>1</v>
      </c>
      <c r="P923" s="4" t="s">
        <v>50</v>
      </c>
      <c r="Q923" s="4">
        <v>3</v>
      </c>
      <c r="R923" s="4" t="s">
        <v>41</v>
      </c>
      <c r="S923" s="4">
        <v>2154</v>
      </c>
      <c r="T923" s="4">
        <v>6842</v>
      </c>
      <c r="U923" s="4">
        <v>0</v>
      </c>
      <c r="V923" s="4" t="s">
        <v>42</v>
      </c>
      <c r="W923" s="4" t="s">
        <v>35</v>
      </c>
      <c r="X923" s="4">
        <v>11</v>
      </c>
      <c r="Y923" s="4">
        <v>3</v>
      </c>
      <c r="Z923" s="4">
        <v>3</v>
      </c>
      <c r="AA923" s="4">
        <v>80</v>
      </c>
      <c r="AB923" s="4">
        <v>0</v>
      </c>
      <c r="AC923" s="4">
        <v>5</v>
      </c>
      <c r="AD923" s="4">
        <v>2</v>
      </c>
      <c r="AE923" s="4">
        <v>2</v>
      </c>
      <c r="AF923" s="4">
        <v>4</v>
      </c>
      <c r="AG923" s="4">
        <v>2</v>
      </c>
      <c r="AH923" s="4">
        <v>0</v>
      </c>
      <c r="AI923" s="4">
        <v>2</v>
      </c>
      <c r="AJ923" s="4"/>
      <c r="AK923" s="4"/>
      <c r="AL923" s="4"/>
      <c r="AM923" s="4"/>
      <c r="AN923" s="4"/>
      <c r="AO923" s="4"/>
    </row>
    <row r="924" spans="1:41" hidden="1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41" hidden="1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41" x14ac:dyDescent="0.3">
      <c r="A926" s="4">
        <v>35</v>
      </c>
      <c r="B926" s="4" t="s">
        <v>43</v>
      </c>
      <c r="C926" s="4" t="s">
        <v>36</v>
      </c>
      <c r="D926" s="4">
        <v>735</v>
      </c>
      <c r="E926" s="4" t="s">
        <v>45</v>
      </c>
      <c r="F926" s="4">
        <v>6</v>
      </c>
      <c r="G926" s="4">
        <v>1</v>
      </c>
      <c r="H926" s="4" t="s">
        <v>38</v>
      </c>
      <c r="I926" s="4">
        <v>1</v>
      </c>
      <c r="J926" s="4">
        <v>1291</v>
      </c>
      <c r="K926" s="4">
        <v>3</v>
      </c>
      <c r="L926" s="4" t="s">
        <v>46</v>
      </c>
      <c r="M926" s="4">
        <v>66</v>
      </c>
      <c r="N926" s="4">
        <v>3</v>
      </c>
      <c r="O926" s="4">
        <v>1</v>
      </c>
      <c r="P926" s="4" t="s">
        <v>47</v>
      </c>
      <c r="Q926" s="4">
        <v>3</v>
      </c>
      <c r="R926" s="4" t="s">
        <v>48</v>
      </c>
      <c r="S926" s="4">
        <v>3506</v>
      </c>
      <c r="T926" s="4">
        <v>6020</v>
      </c>
      <c r="U926" s="4">
        <v>0</v>
      </c>
      <c r="V926" s="4" t="s">
        <v>42</v>
      </c>
      <c r="W926" s="4" t="s">
        <v>35</v>
      </c>
      <c r="X926" s="4">
        <v>14</v>
      </c>
      <c r="Y926" s="4">
        <v>3</v>
      </c>
      <c r="Z926" s="4">
        <v>4</v>
      </c>
      <c r="AA926" s="4">
        <v>80</v>
      </c>
      <c r="AB926" s="4">
        <v>0</v>
      </c>
      <c r="AC926" s="4">
        <v>4</v>
      </c>
      <c r="AD926" s="4">
        <v>3</v>
      </c>
      <c r="AE926" s="4">
        <v>3</v>
      </c>
      <c r="AF926" s="4">
        <v>3</v>
      </c>
      <c r="AG926" s="4">
        <v>2</v>
      </c>
      <c r="AH926" s="4">
        <v>2</v>
      </c>
      <c r="AI926" s="4">
        <v>2</v>
      </c>
      <c r="AJ926" s="4"/>
      <c r="AK926" s="4"/>
      <c r="AL926" s="4"/>
      <c r="AM926" s="4"/>
      <c r="AN926" s="4"/>
      <c r="AO926" s="4"/>
    </row>
    <row r="927" spans="1:41" x14ac:dyDescent="0.3">
      <c r="A927" s="4">
        <v>42</v>
      </c>
      <c r="B927" s="4" t="s">
        <v>43</v>
      </c>
      <c r="C927" s="4" t="s">
        <v>36</v>
      </c>
      <c r="D927" s="4">
        <v>603</v>
      </c>
      <c r="E927" s="4" t="s">
        <v>45</v>
      </c>
      <c r="F927" s="4">
        <v>7</v>
      </c>
      <c r="G927" s="4">
        <v>4</v>
      </c>
      <c r="H927" s="4" t="s">
        <v>51</v>
      </c>
      <c r="I927" s="4">
        <v>1</v>
      </c>
      <c r="J927" s="4">
        <v>1292</v>
      </c>
      <c r="K927" s="4">
        <v>2</v>
      </c>
      <c r="L927" s="4" t="s">
        <v>39</v>
      </c>
      <c r="M927" s="4">
        <v>78</v>
      </c>
      <c r="N927" s="4">
        <v>4</v>
      </c>
      <c r="O927" s="4">
        <v>2</v>
      </c>
      <c r="P927" s="4" t="s">
        <v>47</v>
      </c>
      <c r="Q927" s="4">
        <v>2</v>
      </c>
      <c r="R927" s="4" t="s">
        <v>48</v>
      </c>
      <c r="S927" s="4">
        <v>2372</v>
      </c>
      <c r="T927" s="4">
        <v>5628</v>
      </c>
      <c r="U927" s="4">
        <v>6</v>
      </c>
      <c r="V927" s="4" t="s">
        <v>42</v>
      </c>
      <c r="W927" s="4" t="s">
        <v>35</v>
      </c>
      <c r="X927" s="4">
        <v>16</v>
      </c>
      <c r="Y927" s="4">
        <v>3</v>
      </c>
      <c r="Z927" s="4">
        <v>4</v>
      </c>
      <c r="AA927" s="4">
        <v>80</v>
      </c>
      <c r="AB927" s="4">
        <v>0</v>
      </c>
      <c r="AC927" s="4">
        <v>18</v>
      </c>
      <c r="AD927" s="4">
        <v>2</v>
      </c>
      <c r="AE927" s="4">
        <v>3</v>
      </c>
      <c r="AF927" s="4">
        <v>1</v>
      </c>
      <c r="AG927" s="4">
        <v>0</v>
      </c>
      <c r="AH927" s="4">
        <v>0</v>
      </c>
      <c r="AI927" s="4">
        <v>0</v>
      </c>
      <c r="AJ927" s="4"/>
      <c r="AK927" s="4"/>
      <c r="AL927" s="4"/>
      <c r="AM927" s="4"/>
      <c r="AN927" s="4"/>
      <c r="AO927" s="4"/>
    </row>
    <row r="928" spans="1:41" hidden="1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41" x14ac:dyDescent="0.3">
      <c r="A929" s="4">
        <v>36</v>
      </c>
      <c r="B929" s="4" t="s">
        <v>43</v>
      </c>
      <c r="C929" s="4" t="s">
        <v>36</v>
      </c>
      <c r="D929" s="4">
        <v>429</v>
      </c>
      <c r="E929" s="4" t="s">
        <v>45</v>
      </c>
      <c r="F929" s="4">
        <v>2</v>
      </c>
      <c r="G929" s="4">
        <v>4</v>
      </c>
      <c r="H929" s="4" t="s">
        <v>38</v>
      </c>
      <c r="I929" s="4">
        <v>1</v>
      </c>
      <c r="J929" s="4">
        <v>1294</v>
      </c>
      <c r="K929" s="4">
        <v>3</v>
      </c>
      <c r="L929" s="4" t="s">
        <v>39</v>
      </c>
      <c r="M929" s="4">
        <v>53</v>
      </c>
      <c r="N929" s="4">
        <v>3</v>
      </c>
      <c r="O929" s="4">
        <v>2</v>
      </c>
      <c r="P929" s="4" t="s">
        <v>53</v>
      </c>
      <c r="Q929" s="4">
        <v>2</v>
      </c>
      <c r="R929" s="4" t="s">
        <v>41</v>
      </c>
      <c r="S929" s="4">
        <v>5410</v>
      </c>
      <c r="T929" s="4">
        <v>2323</v>
      </c>
      <c r="U929" s="4">
        <v>9</v>
      </c>
      <c r="V929" s="4" t="s">
        <v>42</v>
      </c>
      <c r="W929" s="4" t="s">
        <v>35</v>
      </c>
      <c r="X929" s="4">
        <v>11</v>
      </c>
      <c r="Y929" s="4">
        <v>3</v>
      </c>
      <c r="Z929" s="4">
        <v>4</v>
      </c>
      <c r="AA929" s="4">
        <v>80</v>
      </c>
      <c r="AB929" s="4">
        <v>0</v>
      </c>
      <c r="AC929" s="4">
        <v>18</v>
      </c>
      <c r="AD929" s="4">
        <v>2</v>
      </c>
      <c r="AE929" s="4">
        <v>3</v>
      </c>
      <c r="AF929" s="4">
        <v>16</v>
      </c>
      <c r="AG929" s="4">
        <v>14</v>
      </c>
      <c r="AH929" s="4">
        <v>5</v>
      </c>
      <c r="AI929" s="4">
        <v>12</v>
      </c>
      <c r="AJ929" s="4"/>
      <c r="AK929" s="4"/>
      <c r="AL929" s="4"/>
      <c r="AM929" s="4"/>
      <c r="AN929" s="4"/>
      <c r="AO929" s="4"/>
    </row>
    <row r="930" spans="1:41" hidden="1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41" x14ac:dyDescent="0.3">
      <c r="A931" s="4">
        <v>28</v>
      </c>
      <c r="B931" s="4" t="s">
        <v>43</v>
      </c>
      <c r="C931" s="4" t="s">
        <v>44</v>
      </c>
      <c r="D931" s="4">
        <v>193</v>
      </c>
      <c r="E931" s="4" t="s">
        <v>45</v>
      </c>
      <c r="F931" s="4">
        <v>2</v>
      </c>
      <c r="G931" s="4">
        <v>3</v>
      </c>
      <c r="H931" s="4" t="s">
        <v>38</v>
      </c>
      <c r="I931" s="4">
        <v>1</v>
      </c>
      <c r="J931" s="4">
        <v>1296</v>
      </c>
      <c r="K931" s="4">
        <v>4</v>
      </c>
      <c r="L931" s="4" t="s">
        <v>46</v>
      </c>
      <c r="M931" s="4">
        <v>52</v>
      </c>
      <c r="N931" s="4">
        <v>2</v>
      </c>
      <c r="O931" s="4">
        <v>1</v>
      </c>
      <c r="P931" s="4" t="s">
        <v>50</v>
      </c>
      <c r="Q931" s="4">
        <v>4</v>
      </c>
      <c r="R931" s="4" t="s">
        <v>48</v>
      </c>
      <c r="S931" s="4">
        <v>3867</v>
      </c>
      <c r="T931" s="4">
        <v>14222</v>
      </c>
      <c r="U931" s="4">
        <v>1</v>
      </c>
      <c r="V931" s="4" t="s">
        <v>42</v>
      </c>
      <c r="W931" s="4" t="s">
        <v>35</v>
      </c>
      <c r="X931" s="4">
        <v>12</v>
      </c>
      <c r="Y931" s="4">
        <v>3</v>
      </c>
      <c r="Z931" s="4">
        <v>2</v>
      </c>
      <c r="AA931" s="4">
        <v>80</v>
      </c>
      <c r="AB931" s="4">
        <v>1</v>
      </c>
      <c r="AC931" s="4">
        <v>2</v>
      </c>
      <c r="AD931" s="4">
        <v>2</v>
      </c>
      <c r="AE931" s="4">
        <v>3</v>
      </c>
      <c r="AF931" s="4">
        <v>2</v>
      </c>
      <c r="AG931" s="4">
        <v>2</v>
      </c>
      <c r="AH931" s="4">
        <v>2</v>
      </c>
      <c r="AI931" s="4">
        <v>2</v>
      </c>
      <c r="AJ931" s="4"/>
      <c r="AK931" s="4"/>
      <c r="AL931" s="4"/>
      <c r="AM931" s="4"/>
      <c r="AN931" s="4"/>
      <c r="AO931" s="4"/>
    </row>
    <row r="932" spans="1:41" hidden="1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41" x14ac:dyDescent="0.3">
      <c r="A933" s="4">
        <v>30</v>
      </c>
      <c r="B933" s="4" t="s">
        <v>43</v>
      </c>
      <c r="C933" s="4" t="s">
        <v>55</v>
      </c>
      <c r="D933" s="4">
        <v>879</v>
      </c>
      <c r="E933" s="4" t="s">
        <v>45</v>
      </c>
      <c r="F933" s="4">
        <v>9</v>
      </c>
      <c r="G933" s="4">
        <v>2</v>
      </c>
      <c r="H933" s="4" t="s">
        <v>51</v>
      </c>
      <c r="I933" s="4">
        <v>1</v>
      </c>
      <c r="J933" s="4">
        <v>1298</v>
      </c>
      <c r="K933" s="4">
        <v>3</v>
      </c>
      <c r="L933" s="4" t="s">
        <v>39</v>
      </c>
      <c r="M933" s="4">
        <v>72</v>
      </c>
      <c r="N933" s="4">
        <v>3</v>
      </c>
      <c r="O933" s="4">
        <v>2</v>
      </c>
      <c r="P933" s="4" t="s">
        <v>53</v>
      </c>
      <c r="Q933" s="4">
        <v>3</v>
      </c>
      <c r="R933" s="4" t="s">
        <v>41</v>
      </c>
      <c r="S933" s="4">
        <v>4695</v>
      </c>
      <c r="T933" s="4">
        <v>12858</v>
      </c>
      <c r="U933" s="4">
        <v>7</v>
      </c>
      <c r="V933" s="4" t="s">
        <v>42</v>
      </c>
      <c r="W933" s="4" t="s">
        <v>35</v>
      </c>
      <c r="X933" s="4">
        <v>18</v>
      </c>
      <c r="Y933" s="4">
        <v>3</v>
      </c>
      <c r="Z933" s="4">
        <v>3</v>
      </c>
      <c r="AA933" s="4">
        <v>80</v>
      </c>
      <c r="AB933" s="4">
        <v>0</v>
      </c>
      <c r="AC933" s="4">
        <v>10</v>
      </c>
      <c r="AD933" s="4">
        <v>3</v>
      </c>
      <c r="AE933" s="4">
        <v>3</v>
      </c>
      <c r="AF933" s="4">
        <v>8</v>
      </c>
      <c r="AG933" s="4">
        <v>4</v>
      </c>
      <c r="AH933" s="4">
        <v>1</v>
      </c>
      <c r="AI933" s="4">
        <v>7</v>
      </c>
      <c r="AJ933" s="4"/>
      <c r="AK933" s="4"/>
      <c r="AL933" s="4"/>
      <c r="AM933" s="4"/>
      <c r="AN933" s="4"/>
      <c r="AO933" s="4"/>
    </row>
    <row r="934" spans="1:41" x14ac:dyDescent="0.3">
      <c r="A934" s="4">
        <v>29</v>
      </c>
      <c r="B934" s="4" t="s">
        <v>35</v>
      </c>
      <c r="C934" s="4" t="s">
        <v>36</v>
      </c>
      <c r="D934" s="4">
        <v>806</v>
      </c>
      <c r="E934" s="4" t="s">
        <v>45</v>
      </c>
      <c r="F934" s="4">
        <v>7</v>
      </c>
      <c r="G934" s="4">
        <v>3</v>
      </c>
      <c r="H934" s="4" t="s">
        <v>60</v>
      </c>
      <c r="I934" s="4">
        <v>1</v>
      </c>
      <c r="J934" s="4">
        <v>1299</v>
      </c>
      <c r="K934" s="4">
        <v>2</v>
      </c>
      <c r="L934" s="4" t="s">
        <v>39</v>
      </c>
      <c r="M934" s="4">
        <v>39</v>
      </c>
      <c r="N934" s="4">
        <v>3</v>
      </c>
      <c r="O934" s="4">
        <v>1</v>
      </c>
      <c r="P934" s="4" t="s">
        <v>50</v>
      </c>
      <c r="Q934" s="4">
        <v>3</v>
      </c>
      <c r="R934" s="4" t="s">
        <v>52</v>
      </c>
      <c r="S934" s="4">
        <v>3339</v>
      </c>
      <c r="T934" s="4">
        <v>17285</v>
      </c>
      <c r="U934" s="4">
        <v>3</v>
      </c>
      <c r="V934" s="4" t="s">
        <v>42</v>
      </c>
      <c r="W934" s="4" t="s">
        <v>35</v>
      </c>
      <c r="X934" s="4">
        <v>13</v>
      </c>
      <c r="Y934" s="4">
        <v>3</v>
      </c>
      <c r="Z934" s="4">
        <v>1</v>
      </c>
      <c r="AA934" s="4">
        <v>80</v>
      </c>
      <c r="AB934" s="4">
        <v>2</v>
      </c>
      <c r="AC934" s="4">
        <v>10</v>
      </c>
      <c r="AD934" s="4">
        <v>2</v>
      </c>
      <c r="AE934" s="4">
        <v>3</v>
      </c>
      <c r="AF934" s="4">
        <v>7</v>
      </c>
      <c r="AG934" s="4">
        <v>7</v>
      </c>
      <c r="AH934" s="4">
        <v>7</v>
      </c>
      <c r="AI934" s="4">
        <v>7</v>
      </c>
      <c r="AJ934" s="4"/>
      <c r="AK934" s="4"/>
      <c r="AL934" s="4"/>
      <c r="AM934" s="4"/>
      <c r="AN934" s="4"/>
      <c r="AO934" s="4"/>
    </row>
    <row r="935" spans="1:41" hidden="1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41" hidden="1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41" hidden="1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41" hidden="1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41" x14ac:dyDescent="0.3">
      <c r="A939" s="4">
        <v>39</v>
      </c>
      <c r="B939" s="4" t="s">
        <v>43</v>
      </c>
      <c r="C939" s="4" t="s">
        <v>36</v>
      </c>
      <c r="D939" s="4">
        <v>412</v>
      </c>
      <c r="E939" s="4" t="s">
        <v>45</v>
      </c>
      <c r="F939" s="4">
        <v>13</v>
      </c>
      <c r="G939" s="4">
        <v>4</v>
      </c>
      <c r="H939" s="4" t="s">
        <v>51</v>
      </c>
      <c r="I939" s="4">
        <v>1</v>
      </c>
      <c r="J939" s="4">
        <v>1307</v>
      </c>
      <c r="K939" s="4">
        <v>3</v>
      </c>
      <c r="L939" s="4" t="s">
        <v>39</v>
      </c>
      <c r="M939" s="4">
        <v>94</v>
      </c>
      <c r="N939" s="4">
        <v>2</v>
      </c>
      <c r="O939" s="4">
        <v>4</v>
      </c>
      <c r="P939" s="4" t="s">
        <v>56</v>
      </c>
      <c r="Q939" s="4">
        <v>2</v>
      </c>
      <c r="R939" s="4" t="s">
        <v>52</v>
      </c>
      <c r="S939" s="4">
        <v>17123</v>
      </c>
      <c r="T939" s="4">
        <v>17334</v>
      </c>
      <c r="U939" s="4">
        <v>6</v>
      </c>
      <c r="V939" s="4" t="s">
        <v>42</v>
      </c>
      <c r="W939" s="4" t="s">
        <v>35</v>
      </c>
      <c r="X939" s="4">
        <v>13</v>
      </c>
      <c r="Y939" s="4">
        <v>3</v>
      </c>
      <c r="Z939" s="4">
        <v>4</v>
      </c>
      <c r="AA939" s="4">
        <v>80</v>
      </c>
      <c r="AB939" s="4">
        <v>2</v>
      </c>
      <c r="AC939" s="4">
        <v>21</v>
      </c>
      <c r="AD939" s="4">
        <v>4</v>
      </c>
      <c r="AE939" s="4">
        <v>3</v>
      </c>
      <c r="AF939" s="4">
        <v>19</v>
      </c>
      <c r="AG939" s="4">
        <v>9</v>
      </c>
      <c r="AH939" s="4">
        <v>15</v>
      </c>
      <c r="AI939" s="4">
        <v>2</v>
      </c>
      <c r="AJ939" s="4"/>
      <c r="AK939" s="4"/>
      <c r="AL939" s="4"/>
      <c r="AM939" s="4"/>
      <c r="AN939" s="4"/>
      <c r="AO939" s="4"/>
    </row>
    <row r="940" spans="1:41" hidden="1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41" hidden="1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41" hidden="1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41" hidden="1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41" hidden="1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41" hidden="1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41" hidden="1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41" x14ac:dyDescent="0.3">
      <c r="A947" s="4">
        <v>50</v>
      </c>
      <c r="B947" s="4" t="s">
        <v>43</v>
      </c>
      <c r="C947" s="4" t="s">
        <v>36</v>
      </c>
      <c r="D947" s="4">
        <v>1322</v>
      </c>
      <c r="E947" s="4" t="s">
        <v>45</v>
      </c>
      <c r="F947" s="4">
        <v>28</v>
      </c>
      <c r="G947" s="4">
        <v>3</v>
      </c>
      <c r="H947" s="4" t="s">
        <v>38</v>
      </c>
      <c r="I947" s="4">
        <v>1</v>
      </c>
      <c r="J947" s="4">
        <v>1317</v>
      </c>
      <c r="K947" s="4">
        <v>4</v>
      </c>
      <c r="L947" s="4" t="s">
        <v>39</v>
      </c>
      <c r="M947" s="4">
        <v>43</v>
      </c>
      <c r="N947" s="4">
        <v>3</v>
      </c>
      <c r="O947" s="4">
        <v>4</v>
      </c>
      <c r="P947" s="4" t="s">
        <v>58</v>
      </c>
      <c r="Q947" s="4">
        <v>1</v>
      </c>
      <c r="R947" s="4" t="s">
        <v>48</v>
      </c>
      <c r="S947" s="4">
        <v>16880</v>
      </c>
      <c r="T947" s="4">
        <v>22422</v>
      </c>
      <c r="U947" s="4">
        <v>4</v>
      </c>
      <c r="V947" s="4" t="s">
        <v>42</v>
      </c>
      <c r="W947" s="4" t="s">
        <v>35</v>
      </c>
      <c r="X947" s="4">
        <v>11</v>
      </c>
      <c r="Y947" s="4">
        <v>3</v>
      </c>
      <c r="Z947" s="4">
        <v>2</v>
      </c>
      <c r="AA947" s="4">
        <v>80</v>
      </c>
      <c r="AB947" s="4">
        <v>0</v>
      </c>
      <c r="AC947" s="4">
        <v>25</v>
      </c>
      <c r="AD947" s="4">
        <v>2</v>
      </c>
      <c r="AE947" s="4">
        <v>3</v>
      </c>
      <c r="AF947" s="4">
        <v>3</v>
      </c>
      <c r="AG947" s="4">
        <v>2</v>
      </c>
      <c r="AH947" s="4">
        <v>1</v>
      </c>
      <c r="AI947" s="4">
        <v>2</v>
      </c>
      <c r="AJ947" s="4"/>
      <c r="AK947" s="4"/>
      <c r="AL947" s="4"/>
      <c r="AM947" s="4"/>
      <c r="AN947" s="4"/>
      <c r="AO947" s="4"/>
    </row>
    <row r="948" spans="1:41" x14ac:dyDescent="0.3">
      <c r="A948" s="4">
        <v>40</v>
      </c>
      <c r="B948" s="4" t="s">
        <v>35</v>
      </c>
      <c r="C948" s="4" t="s">
        <v>36</v>
      </c>
      <c r="D948" s="4">
        <v>299</v>
      </c>
      <c r="E948" s="4" t="s">
        <v>37</v>
      </c>
      <c r="F948" s="4">
        <v>25</v>
      </c>
      <c r="G948" s="4">
        <v>4</v>
      </c>
      <c r="H948" s="4" t="s">
        <v>59</v>
      </c>
      <c r="I948" s="4">
        <v>1</v>
      </c>
      <c r="J948" s="4">
        <v>1318</v>
      </c>
      <c r="K948" s="4">
        <v>4</v>
      </c>
      <c r="L948" s="4" t="s">
        <v>46</v>
      </c>
      <c r="M948" s="4">
        <v>57</v>
      </c>
      <c r="N948" s="4">
        <v>2</v>
      </c>
      <c r="O948" s="4">
        <v>3</v>
      </c>
      <c r="P948" s="4" t="s">
        <v>40</v>
      </c>
      <c r="Q948" s="4">
        <v>2</v>
      </c>
      <c r="R948" s="4" t="s">
        <v>41</v>
      </c>
      <c r="S948" s="4">
        <v>9094</v>
      </c>
      <c r="T948" s="4">
        <v>17235</v>
      </c>
      <c r="U948" s="4">
        <v>2</v>
      </c>
      <c r="V948" s="4" t="s">
        <v>42</v>
      </c>
      <c r="W948" s="4" t="s">
        <v>35</v>
      </c>
      <c r="X948" s="4">
        <v>12</v>
      </c>
      <c r="Y948" s="4">
        <v>3</v>
      </c>
      <c r="Z948" s="4">
        <v>3</v>
      </c>
      <c r="AA948" s="4">
        <v>80</v>
      </c>
      <c r="AB948" s="4">
        <v>0</v>
      </c>
      <c r="AC948" s="4">
        <v>9</v>
      </c>
      <c r="AD948" s="4">
        <v>2</v>
      </c>
      <c r="AE948" s="4">
        <v>3</v>
      </c>
      <c r="AF948" s="4">
        <v>5</v>
      </c>
      <c r="AG948" s="4">
        <v>4</v>
      </c>
      <c r="AH948" s="4">
        <v>1</v>
      </c>
      <c r="AI948" s="4">
        <v>0</v>
      </c>
      <c r="AJ948" s="4"/>
      <c r="AK948" s="4"/>
      <c r="AL948" s="4"/>
      <c r="AM948" s="4"/>
      <c r="AN948" s="4"/>
      <c r="AO948" s="4"/>
    </row>
    <row r="949" spans="1:41" x14ac:dyDescent="0.3">
      <c r="A949" s="4">
        <v>52</v>
      </c>
      <c r="B949" s="4" t="s">
        <v>35</v>
      </c>
      <c r="C949" s="4" t="s">
        <v>36</v>
      </c>
      <c r="D949" s="4">
        <v>1030</v>
      </c>
      <c r="E949" s="4" t="s">
        <v>37</v>
      </c>
      <c r="F949" s="4">
        <v>5</v>
      </c>
      <c r="G949" s="4">
        <v>3</v>
      </c>
      <c r="H949" s="4" t="s">
        <v>38</v>
      </c>
      <c r="I949" s="4">
        <v>1</v>
      </c>
      <c r="J949" s="4">
        <v>1319</v>
      </c>
      <c r="K949" s="4">
        <v>2</v>
      </c>
      <c r="L949" s="4" t="s">
        <v>46</v>
      </c>
      <c r="M949" s="4">
        <v>64</v>
      </c>
      <c r="N949" s="4">
        <v>3</v>
      </c>
      <c r="O949" s="4">
        <v>3</v>
      </c>
      <c r="P949" s="4" t="s">
        <v>40</v>
      </c>
      <c r="Q949" s="4">
        <v>2</v>
      </c>
      <c r="R949" s="4" t="s">
        <v>41</v>
      </c>
      <c r="S949" s="4">
        <v>8446</v>
      </c>
      <c r="T949" s="4">
        <v>21534</v>
      </c>
      <c r="U949" s="4">
        <v>9</v>
      </c>
      <c r="V949" s="4" t="s">
        <v>42</v>
      </c>
      <c r="W949" s="4" t="s">
        <v>35</v>
      </c>
      <c r="X949" s="4">
        <v>19</v>
      </c>
      <c r="Y949" s="4">
        <v>3</v>
      </c>
      <c r="Z949" s="4">
        <v>3</v>
      </c>
      <c r="AA949" s="4">
        <v>80</v>
      </c>
      <c r="AB949" s="4">
        <v>0</v>
      </c>
      <c r="AC949" s="4">
        <v>10</v>
      </c>
      <c r="AD949" s="4">
        <v>2</v>
      </c>
      <c r="AE949" s="4">
        <v>2</v>
      </c>
      <c r="AF949" s="4">
        <v>8</v>
      </c>
      <c r="AG949" s="4">
        <v>7</v>
      </c>
      <c r="AH949" s="4">
        <v>7</v>
      </c>
      <c r="AI949" s="4">
        <v>7</v>
      </c>
      <c r="AJ949" s="4"/>
      <c r="AK949" s="4"/>
      <c r="AL949" s="4"/>
      <c r="AM949" s="4"/>
      <c r="AN949" s="4"/>
      <c r="AO949" s="4"/>
    </row>
    <row r="950" spans="1:41" x14ac:dyDescent="0.3">
      <c r="A950" s="4">
        <v>30</v>
      </c>
      <c r="B950" s="4" t="s">
        <v>43</v>
      </c>
      <c r="C950" s="4" t="s">
        <v>36</v>
      </c>
      <c r="D950" s="4">
        <v>634</v>
      </c>
      <c r="E950" s="4" t="s">
        <v>45</v>
      </c>
      <c r="F950" s="4">
        <v>17</v>
      </c>
      <c r="G950" s="4">
        <v>4</v>
      </c>
      <c r="H950" s="4" t="s">
        <v>51</v>
      </c>
      <c r="I950" s="4">
        <v>1</v>
      </c>
      <c r="J950" s="4">
        <v>1321</v>
      </c>
      <c r="K950" s="4">
        <v>2</v>
      </c>
      <c r="L950" s="4" t="s">
        <v>39</v>
      </c>
      <c r="M950" s="4">
        <v>95</v>
      </c>
      <c r="N950" s="4">
        <v>3</v>
      </c>
      <c r="O950" s="4">
        <v>3</v>
      </c>
      <c r="P950" s="4" t="s">
        <v>56</v>
      </c>
      <c r="Q950" s="4">
        <v>1</v>
      </c>
      <c r="R950" s="4" t="s">
        <v>48</v>
      </c>
      <c r="S950" s="4">
        <v>11916</v>
      </c>
      <c r="T950" s="4">
        <v>25927</v>
      </c>
      <c r="U950" s="4">
        <v>1</v>
      </c>
      <c r="V950" s="4" t="s">
        <v>42</v>
      </c>
      <c r="W950" s="4" t="s">
        <v>35</v>
      </c>
      <c r="X950" s="4">
        <v>23</v>
      </c>
      <c r="Y950" s="4">
        <v>4</v>
      </c>
      <c r="Z950" s="4">
        <v>4</v>
      </c>
      <c r="AA950" s="4">
        <v>80</v>
      </c>
      <c r="AB950" s="4">
        <v>2</v>
      </c>
      <c r="AC950" s="4">
        <v>9</v>
      </c>
      <c r="AD950" s="4">
        <v>2</v>
      </c>
      <c r="AE950" s="4">
        <v>3</v>
      </c>
      <c r="AF950" s="4">
        <v>9</v>
      </c>
      <c r="AG950" s="4">
        <v>1</v>
      </c>
      <c r="AH950" s="4">
        <v>0</v>
      </c>
      <c r="AI950" s="4">
        <v>8</v>
      </c>
      <c r="AJ950" s="4"/>
      <c r="AK950" s="4"/>
      <c r="AL950" s="4"/>
      <c r="AM950" s="4"/>
      <c r="AN950" s="4"/>
      <c r="AO950" s="4"/>
    </row>
    <row r="951" spans="1:41" hidden="1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41" x14ac:dyDescent="0.3">
      <c r="A952" s="4">
        <v>31</v>
      </c>
      <c r="B952" s="4" t="s">
        <v>43</v>
      </c>
      <c r="C952" s="4" t="s">
        <v>55</v>
      </c>
      <c r="D952" s="4">
        <v>587</v>
      </c>
      <c r="E952" s="4" t="s">
        <v>37</v>
      </c>
      <c r="F952" s="4">
        <v>2</v>
      </c>
      <c r="G952" s="4">
        <v>4</v>
      </c>
      <c r="H952" s="4" t="s">
        <v>38</v>
      </c>
      <c r="I952" s="4">
        <v>1</v>
      </c>
      <c r="J952" s="4">
        <v>1324</v>
      </c>
      <c r="K952" s="4">
        <v>4</v>
      </c>
      <c r="L952" s="4" t="s">
        <v>39</v>
      </c>
      <c r="M952" s="4">
        <v>57</v>
      </c>
      <c r="N952" s="4">
        <v>3</v>
      </c>
      <c r="O952" s="4">
        <v>3</v>
      </c>
      <c r="P952" s="4" t="s">
        <v>40</v>
      </c>
      <c r="Q952" s="4">
        <v>3</v>
      </c>
      <c r="R952" s="4" t="s">
        <v>52</v>
      </c>
      <c r="S952" s="4">
        <v>9852</v>
      </c>
      <c r="T952" s="4">
        <v>8935</v>
      </c>
      <c r="U952" s="4">
        <v>1</v>
      </c>
      <c r="V952" s="4" t="s">
        <v>42</v>
      </c>
      <c r="W952" s="4" t="s">
        <v>35</v>
      </c>
      <c r="X952" s="4">
        <v>19</v>
      </c>
      <c r="Y952" s="4">
        <v>3</v>
      </c>
      <c r="Z952" s="4">
        <v>1</v>
      </c>
      <c r="AA952" s="4">
        <v>80</v>
      </c>
      <c r="AB952" s="4">
        <v>1</v>
      </c>
      <c r="AC952" s="4">
        <v>10</v>
      </c>
      <c r="AD952" s="4">
        <v>5</v>
      </c>
      <c r="AE952" s="4">
        <v>2</v>
      </c>
      <c r="AF952" s="4">
        <v>10</v>
      </c>
      <c r="AG952" s="4">
        <v>8</v>
      </c>
      <c r="AH952" s="4">
        <v>9</v>
      </c>
      <c r="AI952" s="4">
        <v>6</v>
      </c>
      <c r="AJ952" s="4"/>
      <c r="AK952" s="4"/>
      <c r="AL952" s="4"/>
      <c r="AM952" s="4"/>
      <c r="AN952" s="4"/>
      <c r="AO952" s="4"/>
    </row>
    <row r="953" spans="1:41" hidden="1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41" x14ac:dyDescent="0.3">
      <c r="A954" s="4">
        <v>31</v>
      </c>
      <c r="B954" s="4" t="s">
        <v>35</v>
      </c>
      <c r="C954" s="4" t="s">
        <v>44</v>
      </c>
      <c r="D954" s="4">
        <v>1060</v>
      </c>
      <c r="E954" s="4" t="s">
        <v>37</v>
      </c>
      <c r="F954" s="4">
        <v>1</v>
      </c>
      <c r="G954" s="4">
        <v>3</v>
      </c>
      <c r="H954" s="4" t="s">
        <v>38</v>
      </c>
      <c r="I954" s="4">
        <v>1</v>
      </c>
      <c r="J954" s="4">
        <v>1331</v>
      </c>
      <c r="K954" s="4">
        <v>4</v>
      </c>
      <c r="L954" s="4" t="s">
        <v>39</v>
      </c>
      <c r="M954" s="4">
        <v>54</v>
      </c>
      <c r="N954" s="4">
        <v>3</v>
      </c>
      <c r="O954" s="4">
        <v>1</v>
      </c>
      <c r="P954" s="4" t="s">
        <v>57</v>
      </c>
      <c r="Q954" s="4">
        <v>2</v>
      </c>
      <c r="R954" s="4" t="s">
        <v>41</v>
      </c>
      <c r="S954" s="4">
        <v>2302</v>
      </c>
      <c r="T954" s="4">
        <v>8319</v>
      </c>
      <c r="U954" s="4">
        <v>1</v>
      </c>
      <c r="V954" s="4" t="s">
        <v>42</v>
      </c>
      <c r="W954" s="4" t="s">
        <v>35</v>
      </c>
      <c r="X954" s="4">
        <v>11</v>
      </c>
      <c r="Y954" s="4">
        <v>3</v>
      </c>
      <c r="Z954" s="4">
        <v>1</v>
      </c>
      <c r="AA954" s="4">
        <v>80</v>
      </c>
      <c r="AB954" s="4">
        <v>0</v>
      </c>
      <c r="AC954" s="4">
        <v>3</v>
      </c>
      <c r="AD954" s="4">
        <v>2</v>
      </c>
      <c r="AE954" s="4">
        <v>4</v>
      </c>
      <c r="AF954" s="4">
        <v>3</v>
      </c>
      <c r="AG954" s="4">
        <v>2</v>
      </c>
      <c r="AH954" s="4">
        <v>2</v>
      </c>
      <c r="AI954" s="4">
        <v>2</v>
      </c>
      <c r="AJ954" s="4"/>
      <c r="AK954" s="4"/>
      <c r="AL954" s="4"/>
      <c r="AM954" s="4"/>
      <c r="AN954" s="4"/>
      <c r="AO954" s="4"/>
    </row>
    <row r="955" spans="1:41" hidden="1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41" x14ac:dyDescent="0.3">
      <c r="A956" s="4">
        <v>42</v>
      </c>
      <c r="B956" s="4" t="s">
        <v>43</v>
      </c>
      <c r="C956" s="4" t="s">
        <v>55</v>
      </c>
      <c r="D956" s="4">
        <v>495</v>
      </c>
      <c r="E956" s="4" t="s">
        <v>45</v>
      </c>
      <c r="F956" s="4">
        <v>2</v>
      </c>
      <c r="G956" s="4">
        <v>1</v>
      </c>
      <c r="H956" s="4" t="s">
        <v>38</v>
      </c>
      <c r="I956" s="4">
        <v>1</v>
      </c>
      <c r="J956" s="4">
        <v>1334</v>
      </c>
      <c r="K956" s="4">
        <v>3</v>
      </c>
      <c r="L956" s="4" t="s">
        <v>46</v>
      </c>
      <c r="M956" s="4">
        <v>37</v>
      </c>
      <c r="N956" s="4">
        <v>3</v>
      </c>
      <c r="O956" s="4">
        <v>4</v>
      </c>
      <c r="P956" s="4" t="s">
        <v>56</v>
      </c>
      <c r="Q956" s="4">
        <v>3</v>
      </c>
      <c r="R956" s="4" t="s">
        <v>48</v>
      </c>
      <c r="S956" s="4">
        <v>17861</v>
      </c>
      <c r="T956" s="4">
        <v>26582</v>
      </c>
      <c r="U956" s="4">
        <v>0</v>
      </c>
      <c r="V956" s="4" t="s">
        <v>42</v>
      </c>
      <c r="W956" s="4" t="s">
        <v>35</v>
      </c>
      <c r="X956" s="4">
        <v>13</v>
      </c>
      <c r="Y956" s="4">
        <v>3</v>
      </c>
      <c r="Z956" s="4">
        <v>4</v>
      </c>
      <c r="AA956" s="4">
        <v>80</v>
      </c>
      <c r="AB956" s="4">
        <v>0</v>
      </c>
      <c r="AC956" s="4">
        <v>21</v>
      </c>
      <c r="AD956" s="4">
        <v>3</v>
      </c>
      <c r="AE956" s="4">
        <v>2</v>
      </c>
      <c r="AF956" s="4">
        <v>20</v>
      </c>
      <c r="AG956" s="4">
        <v>8</v>
      </c>
      <c r="AH956" s="4">
        <v>2</v>
      </c>
      <c r="AI956" s="4">
        <v>10</v>
      </c>
      <c r="AJ956" s="4"/>
      <c r="AK956" s="4"/>
      <c r="AL956" s="4"/>
      <c r="AM956" s="4"/>
      <c r="AN956" s="4"/>
      <c r="AO956" s="4"/>
    </row>
    <row r="957" spans="1:41" hidden="1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41" hidden="1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41" hidden="1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41" hidden="1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41" hidden="1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41" hidden="1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41" x14ac:dyDescent="0.3">
      <c r="A963" s="4">
        <v>35</v>
      </c>
      <c r="B963" s="4" t="s">
        <v>43</v>
      </c>
      <c r="C963" s="4" t="s">
        <v>44</v>
      </c>
      <c r="D963" s="4">
        <v>482</v>
      </c>
      <c r="E963" s="4" t="s">
        <v>45</v>
      </c>
      <c r="F963" s="4">
        <v>4</v>
      </c>
      <c r="G963" s="4">
        <v>4</v>
      </c>
      <c r="H963" s="4" t="s">
        <v>38</v>
      </c>
      <c r="I963" s="4">
        <v>1</v>
      </c>
      <c r="J963" s="4">
        <v>1350</v>
      </c>
      <c r="K963" s="4">
        <v>3</v>
      </c>
      <c r="L963" s="4" t="s">
        <v>46</v>
      </c>
      <c r="M963" s="4">
        <v>87</v>
      </c>
      <c r="N963" s="4">
        <v>3</v>
      </c>
      <c r="O963" s="4">
        <v>2</v>
      </c>
      <c r="P963" s="4" t="s">
        <v>47</v>
      </c>
      <c r="Q963" s="4">
        <v>3</v>
      </c>
      <c r="R963" s="4" t="s">
        <v>41</v>
      </c>
      <c r="S963" s="4">
        <v>4249</v>
      </c>
      <c r="T963" s="4">
        <v>2690</v>
      </c>
      <c r="U963" s="4">
        <v>1</v>
      </c>
      <c r="V963" s="4" t="s">
        <v>42</v>
      </c>
      <c r="W963" s="4" t="s">
        <v>35</v>
      </c>
      <c r="X963" s="4">
        <v>11</v>
      </c>
      <c r="Y963" s="4">
        <v>3</v>
      </c>
      <c r="Z963" s="4">
        <v>2</v>
      </c>
      <c r="AA963" s="4">
        <v>80</v>
      </c>
      <c r="AB963" s="4">
        <v>0</v>
      </c>
      <c r="AC963" s="4">
        <v>9</v>
      </c>
      <c r="AD963" s="4">
        <v>3</v>
      </c>
      <c r="AE963" s="4">
        <v>3</v>
      </c>
      <c r="AF963" s="4">
        <v>9</v>
      </c>
      <c r="AG963" s="4">
        <v>6</v>
      </c>
      <c r="AH963" s="4">
        <v>1</v>
      </c>
      <c r="AI963" s="4">
        <v>1</v>
      </c>
      <c r="AJ963" s="4"/>
      <c r="AK963" s="4"/>
      <c r="AL963" s="4"/>
      <c r="AM963" s="4"/>
      <c r="AN963" s="4"/>
      <c r="AO963" s="4"/>
    </row>
    <row r="964" spans="1:41" x14ac:dyDescent="0.3">
      <c r="A964" s="4">
        <v>51</v>
      </c>
      <c r="B964" s="4" t="s">
        <v>43</v>
      </c>
      <c r="C964" s="4" t="s">
        <v>36</v>
      </c>
      <c r="D964" s="4">
        <v>770</v>
      </c>
      <c r="E964" s="4" t="s">
        <v>61</v>
      </c>
      <c r="F964" s="4">
        <v>5</v>
      </c>
      <c r="G964" s="4">
        <v>3</v>
      </c>
      <c r="H964" s="4" t="s">
        <v>38</v>
      </c>
      <c r="I964" s="4">
        <v>1</v>
      </c>
      <c r="J964" s="4">
        <v>1352</v>
      </c>
      <c r="K964" s="4">
        <v>3</v>
      </c>
      <c r="L964" s="4" t="s">
        <v>46</v>
      </c>
      <c r="M964" s="4">
        <v>84</v>
      </c>
      <c r="N964" s="4">
        <v>3</v>
      </c>
      <c r="O964" s="4">
        <v>4</v>
      </c>
      <c r="P964" s="4" t="s">
        <v>56</v>
      </c>
      <c r="Q964" s="4">
        <v>2</v>
      </c>
      <c r="R964" s="4" t="s">
        <v>52</v>
      </c>
      <c r="S964" s="4">
        <v>14026</v>
      </c>
      <c r="T964" s="4">
        <v>17588</v>
      </c>
      <c r="U964" s="4">
        <v>1</v>
      </c>
      <c r="V964" s="4" t="s">
        <v>42</v>
      </c>
      <c r="W964" s="4" t="s">
        <v>35</v>
      </c>
      <c r="X964" s="4">
        <v>11</v>
      </c>
      <c r="Y964" s="4">
        <v>3</v>
      </c>
      <c r="Z964" s="4">
        <v>2</v>
      </c>
      <c r="AA964" s="4">
        <v>80</v>
      </c>
      <c r="AB964" s="4">
        <v>1</v>
      </c>
      <c r="AC964" s="4">
        <v>33</v>
      </c>
      <c r="AD964" s="4">
        <v>2</v>
      </c>
      <c r="AE964" s="4">
        <v>3</v>
      </c>
      <c r="AF964" s="4">
        <v>33</v>
      </c>
      <c r="AG964" s="4">
        <v>9</v>
      </c>
      <c r="AH964" s="4">
        <v>0</v>
      </c>
      <c r="AI964" s="4">
        <v>10</v>
      </c>
      <c r="AJ964" s="4"/>
      <c r="AK964" s="4"/>
      <c r="AL964" s="4"/>
      <c r="AM964" s="4"/>
      <c r="AN964" s="4"/>
      <c r="AO964" s="4"/>
    </row>
    <row r="965" spans="1:41" hidden="1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41" hidden="1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41" hidden="1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41" x14ac:dyDescent="0.3">
      <c r="A968" s="4">
        <v>58</v>
      </c>
      <c r="B968" s="4" t="s">
        <v>35</v>
      </c>
      <c r="C968" s="4" t="s">
        <v>36</v>
      </c>
      <c r="D968" s="4">
        <v>601</v>
      </c>
      <c r="E968" s="4" t="s">
        <v>45</v>
      </c>
      <c r="F968" s="4">
        <v>7</v>
      </c>
      <c r="G968" s="4">
        <v>4</v>
      </c>
      <c r="H968" s="4" t="s">
        <v>51</v>
      </c>
      <c r="I968" s="4">
        <v>1</v>
      </c>
      <c r="J968" s="4">
        <v>1360</v>
      </c>
      <c r="K968" s="4">
        <v>3</v>
      </c>
      <c r="L968" s="4" t="s">
        <v>39</v>
      </c>
      <c r="M968" s="4">
        <v>53</v>
      </c>
      <c r="N968" s="4">
        <v>2</v>
      </c>
      <c r="O968" s="4">
        <v>3</v>
      </c>
      <c r="P968" s="4" t="s">
        <v>53</v>
      </c>
      <c r="Q968" s="4">
        <v>1</v>
      </c>
      <c r="R968" s="4" t="s">
        <v>48</v>
      </c>
      <c r="S968" s="4">
        <v>10008</v>
      </c>
      <c r="T968" s="4">
        <v>12023</v>
      </c>
      <c r="U968" s="4">
        <v>7</v>
      </c>
      <c r="V968" s="4" t="s">
        <v>42</v>
      </c>
      <c r="W968" s="4" t="s">
        <v>35</v>
      </c>
      <c r="X968" s="4">
        <v>14</v>
      </c>
      <c r="Y968" s="4">
        <v>3</v>
      </c>
      <c r="Z968" s="4">
        <v>4</v>
      </c>
      <c r="AA968" s="4">
        <v>80</v>
      </c>
      <c r="AB968" s="4">
        <v>0</v>
      </c>
      <c r="AC968" s="4">
        <v>31</v>
      </c>
      <c r="AD968" s="4">
        <v>0</v>
      </c>
      <c r="AE968" s="4">
        <v>2</v>
      </c>
      <c r="AF968" s="4">
        <v>10</v>
      </c>
      <c r="AG968" s="4">
        <v>9</v>
      </c>
      <c r="AH968" s="4">
        <v>5</v>
      </c>
      <c r="AI968" s="4">
        <v>9</v>
      </c>
      <c r="AJ968" s="4"/>
      <c r="AK968" s="4"/>
      <c r="AL968" s="4"/>
      <c r="AM968" s="4"/>
      <c r="AN968" s="4"/>
      <c r="AO968" s="4"/>
    </row>
    <row r="969" spans="1:41" hidden="1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41" hidden="1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41" hidden="1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41" hidden="1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41" hidden="1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41" hidden="1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41" hidden="1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41" hidden="1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41" x14ac:dyDescent="0.3">
      <c r="A977" s="4">
        <v>55</v>
      </c>
      <c r="B977" s="4" t="s">
        <v>35</v>
      </c>
      <c r="C977" s="4" t="s">
        <v>36</v>
      </c>
      <c r="D977" s="4">
        <v>267</v>
      </c>
      <c r="E977" s="4" t="s">
        <v>37</v>
      </c>
      <c r="F977" s="4">
        <v>13</v>
      </c>
      <c r="G977" s="4">
        <v>4</v>
      </c>
      <c r="H977" s="4" t="s">
        <v>59</v>
      </c>
      <c r="I977" s="4">
        <v>1</v>
      </c>
      <c r="J977" s="4">
        <v>1372</v>
      </c>
      <c r="K977" s="4">
        <v>1</v>
      </c>
      <c r="L977" s="4" t="s">
        <v>46</v>
      </c>
      <c r="M977" s="4">
        <v>85</v>
      </c>
      <c r="N977" s="4">
        <v>4</v>
      </c>
      <c r="O977" s="4">
        <v>4</v>
      </c>
      <c r="P977" s="4" t="s">
        <v>40</v>
      </c>
      <c r="Q977" s="4">
        <v>3</v>
      </c>
      <c r="R977" s="4" t="s">
        <v>41</v>
      </c>
      <c r="S977" s="4">
        <v>13695</v>
      </c>
      <c r="T977" s="4">
        <v>9277</v>
      </c>
      <c r="U977" s="4">
        <v>6</v>
      </c>
      <c r="V977" s="4" t="s">
        <v>42</v>
      </c>
      <c r="W977" s="4" t="s">
        <v>35</v>
      </c>
      <c r="X977" s="4">
        <v>17</v>
      </c>
      <c r="Y977" s="4">
        <v>3</v>
      </c>
      <c r="Z977" s="4">
        <v>3</v>
      </c>
      <c r="AA977" s="4">
        <v>80</v>
      </c>
      <c r="AB977" s="4">
        <v>0</v>
      </c>
      <c r="AC977" s="4">
        <v>24</v>
      </c>
      <c r="AD977" s="4">
        <v>2</v>
      </c>
      <c r="AE977" s="4">
        <v>2</v>
      </c>
      <c r="AF977" s="4">
        <v>19</v>
      </c>
      <c r="AG977" s="4">
        <v>7</v>
      </c>
      <c r="AH977" s="4">
        <v>3</v>
      </c>
      <c r="AI977" s="4">
        <v>8</v>
      </c>
      <c r="AJ977" s="4"/>
      <c r="AK977" s="4"/>
      <c r="AL977" s="4"/>
      <c r="AM977" s="4"/>
      <c r="AN977" s="4"/>
      <c r="AO977" s="4"/>
    </row>
    <row r="978" spans="1:41" x14ac:dyDescent="0.3">
      <c r="A978" s="4">
        <v>56</v>
      </c>
      <c r="B978" s="4" t="s">
        <v>43</v>
      </c>
      <c r="C978" s="4" t="s">
        <v>36</v>
      </c>
      <c r="D978" s="4">
        <v>1369</v>
      </c>
      <c r="E978" s="4" t="s">
        <v>45</v>
      </c>
      <c r="F978" s="4">
        <v>23</v>
      </c>
      <c r="G978" s="4">
        <v>3</v>
      </c>
      <c r="H978" s="4" t="s">
        <v>38</v>
      </c>
      <c r="I978" s="4">
        <v>1</v>
      </c>
      <c r="J978" s="4">
        <v>1373</v>
      </c>
      <c r="K978" s="4">
        <v>4</v>
      </c>
      <c r="L978" s="4" t="s">
        <v>46</v>
      </c>
      <c r="M978" s="4">
        <v>68</v>
      </c>
      <c r="N978" s="4">
        <v>3</v>
      </c>
      <c r="O978" s="4">
        <v>4</v>
      </c>
      <c r="P978" s="4" t="s">
        <v>53</v>
      </c>
      <c r="Q978" s="4">
        <v>2</v>
      </c>
      <c r="R978" s="4" t="s">
        <v>48</v>
      </c>
      <c r="S978" s="4">
        <v>13402</v>
      </c>
      <c r="T978" s="4">
        <v>18235</v>
      </c>
      <c r="U978" s="4">
        <v>4</v>
      </c>
      <c r="V978" s="4" t="s">
        <v>42</v>
      </c>
      <c r="W978" s="4" t="s">
        <v>35</v>
      </c>
      <c r="X978" s="4">
        <v>12</v>
      </c>
      <c r="Y978" s="4">
        <v>3</v>
      </c>
      <c r="Z978" s="4">
        <v>1</v>
      </c>
      <c r="AA978" s="4">
        <v>80</v>
      </c>
      <c r="AB978" s="4">
        <v>1</v>
      </c>
      <c r="AC978" s="4">
        <v>33</v>
      </c>
      <c r="AD978" s="4">
        <v>0</v>
      </c>
      <c r="AE978" s="4">
        <v>3</v>
      </c>
      <c r="AF978" s="4">
        <v>19</v>
      </c>
      <c r="AG978" s="4">
        <v>16</v>
      </c>
      <c r="AH978" s="4">
        <v>15</v>
      </c>
      <c r="AI978" s="4">
        <v>9</v>
      </c>
      <c r="AJ978" s="4"/>
      <c r="AK978" s="4"/>
      <c r="AL978" s="4"/>
      <c r="AM978" s="4"/>
      <c r="AN978" s="4"/>
      <c r="AO978" s="4"/>
    </row>
    <row r="979" spans="1:41" hidden="1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41" hidden="1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41" hidden="1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41" hidden="1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41" x14ac:dyDescent="0.3">
      <c r="A983" s="4">
        <v>35</v>
      </c>
      <c r="B983" s="4" t="s">
        <v>35</v>
      </c>
      <c r="C983" s="4" t="s">
        <v>44</v>
      </c>
      <c r="D983" s="4">
        <v>662</v>
      </c>
      <c r="E983" s="4" t="s">
        <v>37</v>
      </c>
      <c r="F983" s="4">
        <v>18</v>
      </c>
      <c r="G983" s="4">
        <v>4</v>
      </c>
      <c r="H983" s="4" t="s">
        <v>59</v>
      </c>
      <c r="I983" s="4">
        <v>1</v>
      </c>
      <c r="J983" s="4">
        <v>1380</v>
      </c>
      <c r="K983" s="4">
        <v>4</v>
      </c>
      <c r="L983" s="4" t="s">
        <v>39</v>
      </c>
      <c r="M983" s="4">
        <v>67</v>
      </c>
      <c r="N983" s="4">
        <v>3</v>
      </c>
      <c r="O983" s="4">
        <v>2</v>
      </c>
      <c r="P983" s="4" t="s">
        <v>40</v>
      </c>
      <c r="Q983" s="4">
        <v>3</v>
      </c>
      <c r="R983" s="4" t="s">
        <v>48</v>
      </c>
      <c r="S983" s="4">
        <v>4614</v>
      </c>
      <c r="T983" s="4">
        <v>23288</v>
      </c>
      <c r="U983" s="4">
        <v>0</v>
      </c>
      <c r="V983" s="4" t="s">
        <v>42</v>
      </c>
      <c r="W983" s="4" t="s">
        <v>35</v>
      </c>
      <c r="X983" s="4">
        <v>18</v>
      </c>
      <c r="Y983" s="4">
        <v>3</v>
      </c>
      <c r="Z983" s="4">
        <v>3</v>
      </c>
      <c r="AA983" s="4">
        <v>80</v>
      </c>
      <c r="AB983" s="4">
        <v>1</v>
      </c>
      <c r="AC983" s="4">
        <v>5</v>
      </c>
      <c r="AD983" s="4">
        <v>0</v>
      </c>
      <c r="AE983" s="4">
        <v>2</v>
      </c>
      <c r="AF983" s="4">
        <v>4</v>
      </c>
      <c r="AG983" s="4">
        <v>2</v>
      </c>
      <c r="AH983" s="4">
        <v>3</v>
      </c>
      <c r="AI983" s="4">
        <v>2</v>
      </c>
      <c r="AJ983" s="4"/>
      <c r="AK983" s="4"/>
      <c r="AL983" s="4"/>
      <c r="AM983" s="4"/>
      <c r="AN983" s="4"/>
      <c r="AO983" s="4"/>
    </row>
    <row r="984" spans="1:41" hidden="1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41" hidden="1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41" hidden="1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41" x14ac:dyDescent="0.3">
      <c r="A987" s="4">
        <v>31</v>
      </c>
      <c r="B987" s="4" t="s">
        <v>35</v>
      </c>
      <c r="C987" s="4" t="s">
        <v>36</v>
      </c>
      <c r="D987" s="4">
        <v>330</v>
      </c>
      <c r="E987" s="4" t="s">
        <v>45</v>
      </c>
      <c r="F987" s="4">
        <v>22</v>
      </c>
      <c r="G987" s="4">
        <v>4</v>
      </c>
      <c r="H987" s="4" t="s">
        <v>51</v>
      </c>
      <c r="I987" s="4">
        <v>1</v>
      </c>
      <c r="J987" s="4">
        <v>1389</v>
      </c>
      <c r="K987" s="4">
        <v>4</v>
      </c>
      <c r="L987" s="4" t="s">
        <v>46</v>
      </c>
      <c r="M987" s="4">
        <v>98</v>
      </c>
      <c r="N987" s="4">
        <v>3</v>
      </c>
      <c r="O987" s="4">
        <v>2</v>
      </c>
      <c r="P987" s="4" t="s">
        <v>53</v>
      </c>
      <c r="Q987" s="4">
        <v>3</v>
      </c>
      <c r="R987" s="4" t="s">
        <v>48</v>
      </c>
      <c r="S987" s="4">
        <v>6179</v>
      </c>
      <c r="T987" s="4">
        <v>21057</v>
      </c>
      <c r="U987" s="4">
        <v>1</v>
      </c>
      <c r="V987" s="4" t="s">
        <v>42</v>
      </c>
      <c r="W987" s="4" t="s">
        <v>35</v>
      </c>
      <c r="X987" s="4">
        <v>15</v>
      </c>
      <c r="Y987" s="4">
        <v>3</v>
      </c>
      <c r="Z987" s="4">
        <v>4</v>
      </c>
      <c r="AA987" s="4">
        <v>80</v>
      </c>
      <c r="AB987" s="4">
        <v>2</v>
      </c>
      <c r="AC987" s="4">
        <v>10</v>
      </c>
      <c r="AD987" s="4">
        <v>3</v>
      </c>
      <c r="AE987" s="4">
        <v>2</v>
      </c>
      <c r="AF987" s="4">
        <v>10</v>
      </c>
      <c r="AG987" s="4">
        <v>2</v>
      </c>
      <c r="AH987" s="4">
        <v>6</v>
      </c>
      <c r="AI987" s="4">
        <v>7</v>
      </c>
      <c r="AJ987" s="4"/>
      <c r="AK987" s="4"/>
      <c r="AL987" s="4"/>
      <c r="AM987" s="4"/>
      <c r="AN987" s="4"/>
      <c r="AO987" s="4"/>
    </row>
    <row r="988" spans="1:41" x14ac:dyDescent="0.3">
      <c r="A988" s="4">
        <v>39</v>
      </c>
      <c r="B988" s="4" t="s">
        <v>43</v>
      </c>
      <c r="C988" s="4" t="s">
        <v>36</v>
      </c>
      <c r="D988" s="4">
        <v>1498</v>
      </c>
      <c r="E988" s="4" t="s">
        <v>37</v>
      </c>
      <c r="F988" s="4">
        <v>21</v>
      </c>
      <c r="G988" s="4">
        <v>4</v>
      </c>
      <c r="H988" s="4" t="s">
        <v>38</v>
      </c>
      <c r="I988" s="4">
        <v>1</v>
      </c>
      <c r="J988" s="4">
        <v>1390</v>
      </c>
      <c r="K988" s="4">
        <v>1</v>
      </c>
      <c r="L988" s="4" t="s">
        <v>46</v>
      </c>
      <c r="M988" s="4">
        <v>44</v>
      </c>
      <c r="N988" s="4">
        <v>2</v>
      </c>
      <c r="O988" s="4">
        <v>2</v>
      </c>
      <c r="P988" s="4" t="s">
        <v>40</v>
      </c>
      <c r="Q988" s="4">
        <v>4</v>
      </c>
      <c r="R988" s="4" t="s">
        <v>48</v>
      </c>
      <c r="S988" s="4">
        <v>6120</v>
      </c>
      <c r="T988" s="4">
        <v>3567</v>
      </c>
      <c r="U988" s="4">
        <v>3</v>
      </c>
      <c r="V988" s="4" t="s">
        <v>42</v>
      </c>
      <c r="W988" s="4" t="s">
        <v>35</v>
      </c>
      <c r="X988" s="4">
        <v>12</v>
      </c>
      <c r="Y988" s="4">
        <v>3</v>
      </c>
      <c r="Z988" s="4">
        <v>4</v>
      </c>
      <c r="AA988" s="4">
        <v>80</v>
      </c>
      <c r="AB988" s="4">
        <v>2</v>
      </c>
      <c r="AC988" s="4">
        <v>8</v>
      </c>
      <c r="AD988" s="4">
        <v>2</v>
      </c>
      <c r="AE988" s="4">
        <v>4</v>
      </c>
      <c r="AF988" s="4">
        <v>5</v>
      </c>
      <c r="AG988" s="4">
        <v>4</v>
      </c>
      <c r="AH988" s="4">
        <v>1</v>
      </c>
      <c r="AI988" s="4">
        <v>4</v>
      </c>
      <c r="AJ988" s="4"/>
      <c r="AK988" s="4"/>
      <c r="AL988" s="4"/>
      <c r="AM988" s="4"/>
      <c r="AN988" s="4"/>
      <c r="AO988" s="4"/>
    </row>
    <row r="989" spans="1:41" hidden="1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41" x14ac:dyDescent="0.3">
      <c r="A990" s="4">
        <v>41</v>
      </c>
      <c r="B990" s="4" t="s">
        <v>43</v>
      </c>
      <c r="C990" s="4" t="s">
        <v>44</v>
      </c>
      <c r="D990" s="4">
        <v>1200</v>
      </c>
      <c r="E990" s="4" t="s">
        <v>45</v>
      </c>
      <c r="F990" s="4">
        <v>22</v>
      </c>
      <c r="G990" s="4">
        <v>3</v>
      </c>
      <c r="H990" s="4" t="s">
        <v>38</v>
      </c>
      <c r="I990" s="4">
        <v>1</v>
      </c>
      <c r="J990" s="4">
        <v>1392</v>
      </c>
      <c r="K990" s="4">
        <v>4</v>
      </c>
      <c r="L990" s="4" t="s">
        <v>39</v>
      </c>
      <c r="M990" s="4">
        <v>75</v>
      </c>
      <c r="N990" s="4">
        <v>3</v>
      </c>
      <c r="O990" s="4">
        <v>2</v>
      </c>
      <c r="P990" s="4" t="s">
        <v>47</v>
      </c>
      <c r="Q990" s="4">
        <v>4</v>
      </c>
      <c r="R990" s="4" t="s">
        <v>52</v>
      </c>
      <c r="S990" s="4">
        <v>5467</v>
      </c>
      <c r="T990" s="4">
        <v>13953</v>
      </c>
      <c r="U990" s="4">
        <v>3</v>
      </c>
      <c r="V990" s="4" t="s">
        <v>42</v>
      </c>
      <c r="W990" s="4" t="s">
        <v>35</v>
      </c>
      <c r="X990" s="4">
        <v>14</v>
      </c>
      <c r="Y990" s="4">
        <v>3</v>
      </c>
      <c r="Z990" s="4">
        <v>1</v>
      </c>
      <c r="AA990" s="4">
        <v>80</v>
      </c>
      <c r="AB990" s="4">
        <v>2</v>
      </c>
      <c r="AC990" s="4">
        <v>12</v>
      </c>
      <c r="AD990" s="4">
        <v>4</v>
      </c>
      <c r="AE990" s="4">
        <v>2</v>
      </c>
      <c r="AF990" s="4">
        <v>6</v>
      </c>
      <c r="AG990" s="4">
        <v>2</v>
      </c>
      <c r="AH990" s="4">
        <v>3</v>
      </c>
      <c r="AI990" s="4">
        <v>3</v>
      </c>
      <c r="AJ990" s="4"/>
      <c r="AK990" s="4"/>
      <c r="AL990" s="4"/>
      <c r="AM990" s="4"/>
      <c r="AN990" s="4"/>
      <c r="AO990" s="4"/>
    </row>
    <row r="991" spans="1:41" x14ac:dyDescent="0.3">
      <c r="A991" s="4">
        <v>37</v>
      </c>
      <c r="B991" s="4" t="s">
        <v>43</v>
      </c>
      <c r="C991" s="4" t="s">
        <v>36</v>
      </c>
      <c r="D991" s="4">
        <v>1439</v>
      </c>
      <c r="E991" s="4" t="s">
        <v>45</v>
      </c>
      <c r="F991" s="4">
        <v>4</v>
      </c>
      <c r="G991" s="4">
        <v>1</v>
      </c>
      <c r="H991" s="4" t="s">
        <v>38</v>
      </c>
      <c r="I991" s="4">
        <v>1</v>
      </c>
      <c r="J991" s="4">
        <v>1394</v>
      </c>
      <c r="K991" s="4">
        <v>3</v>
      </c>
      <c r="L991" s="4" t="s">
        <v>46</v>
      </c>
      <c r="M991" s="4">
        <v>54</v>
      </c>
      <c r="N991" s="4">
        <v>3</v>
      </c>
      <c r="O991" s="4">
        <v>1</v>
      </c>
      <c r="P991" s="4" t="s">
        <v>47</v>
      </c>
      <c r="Q991" s="4">
        <v>3</v>
      </c>
      <c r="R991" s="4" t="s">
        <v>48</v>
      </c>
      <c r="S991" s="4">
        <v>2996</v>
      </c>
      <c r="T991" s="4">
        <v>5182</v>
      </c>
      <c r="U991" s="4">
        <v>7</v>
      </c>
      <c r="V991" s="4" t="s">
        <v>42</v>
      </c>
      <c r="W991" s="4" t="s">
        <v>35</v>
      </c>
      <c r="X991" s="4">
        <v>15</v>
      </c>
      <c r="Y991" s="4">
        <v>3</v>
      </c>
      <c r="Z991" s="4">
        <v>4</v>
      </c>
      <c r="AA991" s="4">
        <v>80</v>
      </c>
      <c r="AB991" s="4">
        <v>0</v>
      </c>
      <c r="AC991" s="4">
        <v>8</v>
      </c>
      <c r="AD991" s="4">
        <v>2</v>
      </c>
      <c r="AE991" s="4">
        <v>3</v>
      </c>
      <c r="AF991" s="4">
        <v>6</v>
      </c>
      <c r="AG991" s="4">
        <v>4</v>
      </c>
      <c r="AH991" s="4">
        <v>1</v>
      </c>
      <c r="AI991" s="4">
        <v>3</v>
      </c>
      <c r="AJ991" s="4"/>
      <c r="AK991" s="4"/>
      <c r="AL991" s="4"/>
      <c r="AM991" s="4"/>
      <c r="AN991" s="4"/>
      <c r="AO991" s="4"/>
    </row>
    <row r="992" spans="1:41" hidden="1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41" x14ac:dyDescent="0.3">
      <c r="A993" s="4">
        <v>32</v>
      </c>
      <c r="B993" s="4" t="s">
        <v>43</v>
      </c>
      <c r="C993" s="4" t="s">
        <v>36</v>
      </c>
      <c r="D993" s="4">
        <v>499</v>
      </c>
      <c r="E993" s="4" t="s">
        <v>37</v>
      </c>
      <c r="F993" s="4">
        <v>2</v>
      </c>
      <c r="G993" s="4">
        <v>1</v>
      </c>
      <c r="H993" s="4" t="s">
        <v>59</v>
      </c>
      <c r="I993" s="4">
        <v>1</v>
      </c>
      <c r="J993" s="4">
        <v>1396</v>
      </c>
      <c r="K993" s="4">
        <v>3</v>
      </c>
      <c r="L993" s="4" t="s">
        <v>46</v>
      </c>
      <c r="M993" s="4">
        <v>36</v>
      </c>
      <c r="N993" s="4">
        <v>3</v>
      </c>
      <c r="O993" s="4">
        <v>2</v>
      </c>
      <c r="P993" s="4" t="s">
        <v>40</v>
      </c>
      <c r="Q993" s="4">
        <v>2</v>
      </c>
      <c r="R993" s="4" t="s">
        <v>48</v>
      </c>
      <c r="S993" s="4">
        <v>4078</v>
      </c>
      <c r="T993" s="4">
        <v>20497</v>
      </c>
      <c r="U993" s="4">
        <v>0</v>
      </c>
      <c r="V993" s="4" t="s">
        <v>42</v>
      </c>
      <c r="W993" s="4" t="s">
        <v>35</v>
      </c>
      <c r="X993" s="4">
        <v>13</v>
      </c>
      <c r="Y993" s="4">
        <v>3</v>
      </c>
      <c r="Z993" s="4">
        <v>1</v>
      </c>
      <c r="AA993" s="4">
        <v>80</v>
      </c>
      <c r="AB993" s="4">
        <v>3</v>
      </c>
      <c r="AC993" s="4">
        <v>4</v>
      </c>
      <c r="AD993" s="4">
        <v>3</v>
      </c>
      <c r="AE993" s="4">
        <v>2</v>
      </c>
      <c r="AF993" s="4">
        <v>3</v>
      </c>
      <c r="AG993" s="4">
        <v>2</v>
      </c>
      <c r="AH993" s="4">
        <v>1</v>
      </c>
      <c r="AI993" s="4">
        <v>2</v>
      </c>
      <c r="AJ993" s="4"/>
      <c r="AK993" s="4"/>
      <c r="AL993" s="4"/>
      <c r="AM993" s="4"/>
      <c r="AN993" s="4"/>
      <c r="AO993" s="4"/>
    </row>
    <row r="994" spans="1:41" hidden="1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41" hidden="1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41" x14ac:dyDescent="0.3">
      <c r="A996" s="4">
        <v>52</v>
      </c>
      <c r="B996" s="4" t="s">
        <v>43</v>
      </c>
      <c r="C996" s="4" t="s">
        <v>44</v>
      </c>
      <c r="D996" s="4">
        <v>322</v>
      </c>
      <c r="E996" s="4" t="s">
        <v>45</v>
      </c>
      <c r="F996" s="4">
        <v>28</v>
      </c>
      <c r="G996" s="4">
        <v>2</v>
      </c>
      <c r="H996" s="4" t="s">
        <v>51</v>
      </c>
      <c r="I996" s="4">
        <v>1</v>
      </c>
      <c r="J996" s="4">
        <v>1401</v>
      </c>
      <c r="K996" s="4">
        <v>4</v>
      </c>
      <c r="L996" s="4" t="s">
        <v>39</v>
      </c>
      <c r="M996" s="4">
        <v>59</v>
      </c>
      <c r="N996" s="4">
        <v>4</v>
      </c>
      <c r="O996" s="4">
        <v>4</v>
      </c>
      <c r="P996" s="4" t="s">
        <v>53</v>
      </c>
      <c r="Q996" s="4">
        <v>3</v>
      </c>
      <c r="R996" s="4" t="s">
        <v>48</v>
      </c>
      <c r="S996" s="4">
        <v>13247</v>
      </c>
      <c r="T996" s="4">
        <v>9731</v>
      </c>
      <c r="U996" s="4">
        <v>2</v>
      </c>
      <c r="V996" s="4" t="s">
        <v>42</v>
      </c>
      <c r="W996" s="4" t="s">
        <v>35</v>
      </c>
      <c r="X996" s="4">
        <v>11</v>
      </c>
      <c r="Y996" s="4">
        <v>3</v>
      </c>
      <c r="Z996" s="4">
        <v>2</v>
      </c>
      <c r="AA996" s="4">
        <v>80</v>
      </c>
      <c r="AB996" s="4">
        <v>1</v>
      </c>
      <c r="AC996" s="4">
        <v>24</v>
      </c>
      <c r="AD996" s="4">
        <v>3</v>
      </c>
      <c r="AE996" s="4">
        <v>2</v>
      </c>
      <c r="AF996" s="4">
        <v>5</v>
      </c>
      <c r="AG996" s="4">
        <v>3</v>
      </c>
      <c r="AH996" s="4">
        <v>0</v>
      </c>
      <c r="AI996" s="4">
        <v>2</v>
      </c>
      <c r="AJ996" s="4"/>
      <c r="AK996" s="4"/>
      <c r="AL996" s="4"/>
      <c r="AM996" s="4"/>
      <c r="AN996" s="4"/>
      <c r="AO996" s="4"/>
    </row>
    <row r="997" spans="1:41" x14ac:dyDescent="0.3">
      <c r="A997" s="4">
        <v>43</v>
      </c>
      <c r="B997" s="4" t="s">
        <v>43</v>
      </c>
      <c r="C997" s="4" t="s">
        <v>36</v>
      </c>
      <c r="D997" s="4">
        <v>930</v>
      </c>
      <c r="E997" s="4" t="s">
        <v>45</v>
      </c>
      <c r="F997" s="4">
        <v>6</v>
      </c>
      <c r="G997" s="4">
        <v>3</v>
      </c>
      <c r="H997" s="4" t="s">
        <v>51</v>
      </c>
      <c r="I997" s="4">
        <v>1</v>
      </c>
      <c r="J997" s="4">
        <v>1402</v>
      </c>
      <c r="K997" s="4">
        <v>1</v>
      </c>
      <c r="L997" s="4" t="s">
        <v>39</v>
      </c>
      <c r="M997" s="4">
        <v>73</v>
      </c>
      <c r="N997" s="4">
        <v>2</v>
      </c>
      <c r="O997" s="4">
        <v>2</v>
      </c>
      <c r="P997" s="4" t="s">
        <v>47</v>
      </c>
      <c r="Q997" s="4">
        <v>3</v>
      </c>
      <c r="R997" s="4" t="s">
        <v>41</v>
      </c>
      <c r="S997" s="4">
        <v>4081</v>
      </c>
      <c r="T997" s="4">
        <v>20003</v>
      </c>
      <c r="U997" s="4">
        <v>1</v>
      </c>
      <c r="V997" s="4" t="s">
        <v>42</v>
      </c>
      <c r="W997" s="4" t="s">
        <v>35</v>
      </c>
      <c r="X997" s="4">
        <v>14</v>
      </c>
      <c r="Y997" s="4">
        <v>3</v>
      </c>
      <c r="Z997" s="4">
        <v>1</v>
      </c>
      <c r="AA997" s="4">
        <v>80</v>
      </c>
      <c r="AB997" s="4">
        <v>0</v>
      </c>
      <c r="AC997" s="4">
        <v>20</v>
      </c>
      <c r="AD997" s="4">
        <v>3</v>
      </c>
      <c r="AE997" s="4">
        <v>1</v>
      </c>
      <c r="AF997" s="4">
        <v>20</v>
      </c>
      <c r="AG997" s="4">
        <v>7</v>
      </c>
      <c r="AH997" s="4">
        <v>1</v>
      </c>
      <c r="AI997" s="4">
        <v>8</v>
      </c>
      <c r="AJ997" s="4"/>
      <c r="AK997" s="4"/>
      <c r="AL997" s="4"/>
      <c r="AM997" s="4"/>
      <c r="AN997" s="4"/>
      <c r="AO997" s="4"/>
    </row>
    <row r="998" spans="1:41" x14ac:dyDescent="0.3">
      <c r="A998" s="4">
        <v>27</v>
      </c>
      <c r="B998" s="4" t="s">
        <v>43</v>
      </c>
      <c r="C998" s="4" t="s">
        <v>36</v>
      </c>
      <c r="D998" s="4">
        <v>205</v>
      </c>
      <c r="E998" s="4" t="s">
        <v>37</v>
      </c>
      <c r="F998" s="4">
        <v>10</v>
      </c>
      <c r="G998" s="4">
        <v>3</v>
      </c>
      <c r="H998" s="4" t="s">
        <v>59</v>
      </c>
      <c r="I998" s="4">
        <v>1</v>
      </c>
      <c r="J998" s="4">
        <v>1403</v>
      </c>
      <c r="K998" s="4">
        <v>4</v>
      </c>
      <c r="L998" s="4" t="s">
        <v>39</v>
      </c>
      <c r="M998" s="4">
        <v>98</v>
      </c>
      <c r="N998" s="4">
        <v>2</v>
      </c>
      <c r="O998" s="4">
        <v>2</v>
      </c>
      <c r="P998" s="4" t="s">
        <v>40</v>
      </c>
      <c r="Q998" s="4">
        <v>4</v>
      </c>
      <c r="R998" s="4" t="s">
        <v>48</v>
      </c>
      <c r="S998" s="4">
        <v>5769</v>
      </c>
      <c r="T998" s="4">
        <v>7100</v>
      </c>
      <c r="U998" s="4">
        <v>1</v>
      </c>
      <c r="V998" s="4" t="s">
        <v>42</v>
      </c>
      <c r="W998" s="4" t="s">
        <v>35</v>
      </c>
      <c r="X998" s="4">
        <v>11</v>
      </c>
      <c r="Y998" s="4">
        <v>3</v>
      </c>
      <c r="Z998" s="4">
        <v>4</v>
      </c>
      <c r="AA998" s="4">
        <v>80</v>
      </c>
      <c r="AB998" s="4">
        <v>0</v>
      </c>
      <c r="AC998" s="4">
        <v>6</v>
      </c>
      <c r="AD998" s="4">
        <v>3</v>
      </c>
      <c r="AE998" s="4">
        <v>3</v>
      </c>
      <c r="AF998" s="4">
        <v>6</v>
      </c>
      <c r="AG998" s="4">
        <v>2</v>
      </c>
      <c r="AH998" s="4">
        <v>4</v>
      </c>
      <c r="AI998" s="4">
        <v>4</v>
      </c>
      <c r="AJ998" s="4"/>
      <c r="AK998" s="4"/>
      <c r="AL998" s="4"/>
      <c r="AM998" s="4"/>
      <c r="AN998" s="4"/>
      <c r="AO998" s="4"/>
    </row>
    <row r="999" spans="1:41" x14ac:dyDescent="0.3">
      <c r="A999" s="4">
        <v>27</v>
      </c>
      <c r="B999" s="4" t="s">
        <v>35</v>
      </c>
      <c r="C999" s="4" t="s">
        <v>36</v>
      </c>
      <c r="D999" s="4">
        <v>135</v>
      </c>
      <c r="E999" s="4" t="s">
        <v>45</v>
      </c>
      <c r="F999" s="4">
        <v>17</v>
      </c>
      <c r="G999" s="4">
        <v>4</v>
      </c>
      <c r="H999" s="4" t="s">
        <v>38</v>
      </c>
      <c r="I999" s="4">
        <v>1</v>
      </c>
      <c r="J999" s="4">
        <v>1405</v>
      </c>
      <c r="K999" s="4">
        <v>4</v>
      </c>
      <c r="L999" s="4" t="s">
        <v>39</v>
      </c>
      <c r="M999" s="4">
        <v>51</v>
      </c>
      <c r="N999" s="4">
        <v>3</v>
      </c>
      <c r="O999" s="4">
        <v>1</v>
      </c>
      <c r="P999" s="4" t="s">
        <v>47</v>
      </c>
      <c r="Q999" s="4">
        <v>3</v>
      </c>
      <c r="R999" s="4" t="s">
        <v>41</v>
      </c>
      <c r="S999" s="4">
        <v>2394</v>
      </c>
      <c r="T999" s="4">
        <v>25681</v>
      </c>
      <c r="U999" s="4">
        <v>1</v>
      </c>
      <c r="V999" s="4" t="s">
        <v>42</v>
      </c>
      <c r="W999" s="4" t="s">
        <v>35</v>
      </c>
      <c r="X999" s="4">
        <v>13</v>
      </c>
      <c r="Y999" s="4">
        <v>3</v>
      </c>
      <c r="Z999" s="4">
        <v>4</v>
      </c>
      <c r="AA999" s="4">
        <v>80</v>
      </c>
      <c r="AB999" s="4">
        <v>0</v>
      </c>
      <c r="AC999" s="4">
        <v>8</v>
      </c>
      <c r="AD999" s="4">
        <v>2</v>
      </c>
      <c r="AE999" s="4">
        <v>3</v>
      </c>
      <c r="AF999" s="4">
        <v>8</v>
      </c>
      <c r="AG999" s="4">
        <v>2</v>
      </c>
      <c r="AH999" s="4">
        <v>7</v>
      </c>
      <c r="AI999" s="4">
        <v>7</v>
      </c>
      <c r="AJ999" s="4"/>
      <c r="AK999" s="4"/>
      <c r="AL999" s="4"/>
      <c r="AM999" s="4"/>
      <c r="AN999" s="4"/>
      <c r="AO999" s="4"/>
    </row>
    <row r="1000" spans="1:41" hidden="1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41" hidden="1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41" hidden="1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41" hidden="1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41" hidden="1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41" hidden="1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41" hidden="1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41" hidden="1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41" hidden="1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41" x14ac:dyDescent="0.3">
      <c r="A1009" s="4">
        <v>29</v>
      </c>
      <c r="B1009" s="4" t="s">
        <v>35</v>
      </c>
      <c r="C1009" s="4" t="s">
        <v>44</v>
      </c>
      <c r="D1009" s="4">
        <v>337</v>
      </c>
      <c r="E1009" s="4" t="s">
        <v>45</v>
      </c>
      <c r="F1009" s="4">
        <v>14</v>
      </c>
      <c r="G1009" s="4">
        <v>1</v>
      </c>
      <c r="H1009" s="4" t="s">
        <v>49</v>
      </c>
      <c r="I1009" s="4">
        <v>1</v>
      </c>
      <c r="J1009" s="4">
        <v>1421</v>
      </c>
      <c r="K1009" s="4">
        <v>3</v>
      </c>
      <c r="L1009" s="4" t="s">
        <v>39</v>
      </c>
      <c r="M1009" s="4">
        <v>84</v>
      </c>
      <c r="N1009" s="4">
        <v>3</v>
      </c>
      <c r="O1009" s="4">
        <v>3</v>
      </c>
      <c r="P1009" s="4" t="s">
        <v>54</v>
      </c>
      <c r="Q1009" s="4">
        <v>4</v>
      </c>
      <c r="R1009" s="4" t="s">
        <v>41</v>
      </c>
      <c r="S1009" s="4">
        <v>7553</v>
      </c>
      <c r="T1009" s="4">
        <v>22930</v>
      </c>
      <c r="U1009" s="4">
        <v>0</v>
      </c>
      <c r="V1009" s="4" t="s">
        <v>42</v>
      </c>
      <c r="W1009" s="4" t="s">
        <v>35</v>
      </c>
      <c r="X1009" s="4">
        <v>12</v>
      </c>
      <c r="Y1009" s="4">
        <v>3</v>
      </c>
      <c r="Z1009" s="4">
        <v>1</v>
      </c>
      <c r="AA1009" s="4">
        <v>80</v>
      </c>
      <c r="AB1009" s="4">
        <v>0</v>
      </c>
      <c r="AC1009" s="4">
        <v>9</v>
      </c>
      <c r="AD1009" s="4">
        <v>1</v>
      </c>
      <c r="AE1009" s="4">
        <v>3</v>
      </c>
      <c r="AF1009" s="4">
        <v>8</v>
      </c>
      <c r="AG1009" s="4">
        <v>7</v>
      </c>
      <c r="AH1009" s="4">
        <v>7</v>
      </c>
      <c r="AI1009" s="4">
        <v>7</v>
      </c>
      <c r="AJ1009" s="4"/>
      <c r="AK1009" s="4"/>
      <c r="AL1009" s="4"/>
      <c r="AM1009" s="4"/>
      <c r="AN1009" s="4"/>
      <c r="AO1009" s="4"/>
    </row>
    <row r="1010" spans="1:41" hidden="1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41" x14ac:dyDescent="0.3">
      <c r="A1011" s="4">
        <v>58</v>
      </c>
      <c r="B1011" s="4" t="s">
        <v>43</v>
      </c>
      <c r="C1011" s="4" t="s">
        <v>36</v>
      </c>
      <c r="D1011" s="4">
        <v>1055</v>
      </c>
      <c r="E1011" s="4" t="s">
        <v>45</v>
      </c>
      <c r="F1011" s="4">
        <v>1</v>
      </c>
      <c r="G1011" s="4">
        <v>3</v>
      </c>
      <c r="H1011" s="4" t="s">
        <v>51</v>
      </c>
      <c r="I1011" s="4">
        <v>1</v>
      </c>
      <c r="J1011" s="4">
        <v>1423</v>
      </c>
      <c r="K1011" s="4">
        <v>4</v>
      </c>
      <c r="L1011" s="4" t="s">
        <v>39</v>
      </c>
      <c r="M1011" s="4">
        <v>76</v>
      </c>
      <c r="N1011" s="4">
        <v>3</v>
      </c>
      <c r="O1011" s="4">
        <v>5</v>
      </c>
      <c r="P1011" s="4" t="s">
        <v>58</v>
      </c>
      <c r="Q1011" s="4">
        <v>1</v>
      </c>
      <c r="R1011" s="4" t="s">
        <v>48</v>
      </c>
      <c r="S1011" s="4">
        <v>19701</v>
      </c>
      <c r="T1011" s="4">
        <v>22456</v>
      </c>
      <c r="U1011" s="4">
        <v>3</v>
      </c>
      <c r="V1011" s="4" t="s">
        <v>42</v>
      </c>
      <c r="W1011" s="4" t="s">
        <v>35</v>
      </c>
      <c r="X1011" s="4">
        <v>21</v>
      </c>
      <c r="Y1011" s="4">
        <v>4</v>
      </c>
      <c r="Z1011" s="4">
        <v>3</v>
      </c>
      <c r="AA1011" s="4">
        <v>80</v>
      </c>
      <c r="AB1011" s="4">
        <v>1</v>
      </c>
      <c r="AC1011" s="4">
        <v>32</v>
      </c>
      <c r="AD1011" s="4">
        <v>3</v>
      </c>
      <c r="AE1011" s="4">
        <v>3</v>
      </c>
      <c r="AF1011" s="4">
        <v>9</v>
      </c>
      <c r="AG1011" s="4">
        <v>8</v>
      </c>
      <c r="AH1011" s="4">
        <v>1</v>
      </c>
      <c r="AI1011" s="4">
        <v>5</v>
      </c>
      <c r="AJ1011" s="4"/>
      <c r="AK1011" s="4"/>
      <c r="AL1011" s="4"/>
      <c r="AM1011" s="4"/>
      <c r="AN1011" s="4"/>
      <c r="AO1011" s="4"/>
    </row>
    <row r="1012" spans="1:41" hidden="1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41" x14ac:dyDescent="0.3">
      <c r="A1013" s="4">
        <v>36</v>
      </c>
      <c r="B1013" s="4" t="s">
        <v>43</v>
      </c>
      <c r="C1013" s="4" t="s">
        <v>36</v>
      </c>
      <c r="D1013" s="4">
        <v>1174</v>
      </c>
      <c r="E1013" s="4" t="s">
        <v>37</v>
      </c>
      <c r="F1013" s="4">
        <v>3</v>
      </c>
      <c r="G1013" s="4">
        <v>4</v>
      </c>
      <c r="H1013" s="4" t="s">
        <v>59</v>
      </c>
      <c r="I1013" s="4">
        <v>1</v>
      </c>
      <c r="J1013" s="4">
        <v>1425</v>
      </c>
      <c r="K1013" s="4">
        <v>1</v>
      </c>
      <c r="L1013" s="4" t="s">
        <v>39</v>
      </c>
      <c r="M1013" s="4">
        <v>99</v>
      </c>
      <c r="N1013" s="4">
        <v>3</v>
      </c>
      <c r="O1013" s="4">
        <v>2</v>
      </c>
      <c r="P1013" s="4" t="s">
        <v>40</v>
      </c>
      <c r="Q1013" s="4">
        <v>2</v>
      </c>
      <c r="R1013" s="4" t="s">
        <v>41</v>
      </c>
      <c r="S1013" s="4">
        <v>9278</v>
      </c>
      <c r="T1013" s="4">
        <v>20763</v>
      </c>
      <c r="U1013" s="4">
        <v>3</v>
      </c>
      <c r="V1013" s="4" t="s">
        <v>42</v>
      </c>
      <c r="W1013" s="4" t="s">
        <v>35</v>
      </c>
      <c r="X1013" s="4">
        <v>16</v>
      </c>
      <c r="Y1013" s="4">
        <v>3</v>
      </c>
      <c r="Z1013" s="4">
        <v>4</v>
      </c>
      <c r="AA1013" s="4">
        <v>80</v>
      </c>
      <c r="AB1013" s="4">
        <v>0</v>
      </c>
      <c r="AC1013" s="4">
        <v>15</v>
      </c>
      <c r="AD1013" s="4">
        <v>3</v>
      </c>
      <c r="AE1013" s="4">
        <v>3</v>
      </c>
      <c r="AF1013" s="4">
        <v>5</v>
      </c>
      <c r="AG1013" s="4">
        <v>4</v>
      </c>
      <c r="AH1013" s="4">
        <v>0</v>
      </c>
      <c r="AI1013" s="4">
        <v>1</v>
      </c>
      <c r="AJ1013" s="4"/>
      <c r="AK1013" s="4"/>
      <c r="AL1013" s="4"/>
      <c r="AM1013" s="4"/>
      <c r="AN1013" s="4"/>
      <c r="AO1013" s="4"/>
    </row>
    <row r="1014" spans="1:41" hidden="1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41" hidden="1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41" hidden="1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41" hidden="1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41" hidden="1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41" hidden="1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41" hidden="1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41" hidden="1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41" hidden="1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41" hidden="1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41" hidden="1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41" hidden="1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41" hidden="1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41" x14ac:dyDescent="0.3">
      <c r="A1027" s="4">
        <v>24</v>
      </c>
      <c r="B1027" s="4" t="s">
        <v>43</v>
      </c>
      <c r="C1027" s="4" t="s">
        <v>36</v>
      </c>
      <c r="D1027" s="4">
        <v>1476</v>
      </c>
      <c r="E1027" s="4" t="s">
        <v>37</v>
      </c>
      <c r="F1027" s="4">
        <v>4</v>
      </c>
      <c r="G1027" s="4">
        <v>1</v>
      </c>
      <c r="H1027" s="4" t="s">
        <v>51</v>
      </c>
      <c r="I1027" s="4">
        <v>1</v>
      </c>
      <c r="J1027" s="4">
        <v>1445</v>
      </c>
      <c r="K1027" s="4">
        <v>4</v>
      </c>
      <c r="L1027" s="4" t="s">
        <v>39</v>
      </c>
      <c r="M1027" s="4">
        <v>42</v>
      </c>
      <c r="N1027" s="4">
        <v>3</v>
      </c>
      <c r="O1027" s="4">
        <v>2</v>
      </c>
      <c r="P1027" s="4" t="s">
        <v>40</v>
      </c>
      <c r="Q1027" s="4">
        <v>3</v>
      </c>
      <c r="R1027" s="4" t="s">
        <v>48</v>
      </c>
      <c r="S1027" s="4">
        <v>4162</v>
      </c>
      <c r="T1027" s="4">
        <v>15211</v>
      </c>
      <c r="U1027" s="4">
        <v>1</v>
      </c>
      <c r="V1027" s="4" t="s">
        <v>42</v>
      </c>
      <c r="W1027" s="4" t="s">
        <v>35</v>
      </c>
      <c r="X1027" s="4">
        <v>12</v>
      </c>
      <c r="Y1027" s="4">
        <v>3</v>
      </c>
      <c r="Z1027" s="4">
        <v>3</v>
      </c>
      <c r="AA1027" s="4">
        <v>80</v>
      </c>
      <c r="AB1027" s="4">
        <v>2</v>
      </c>
      <c r="AC1027" s="4">
        <v>5</v>
      </c>
      <c r="AD1027" s="4">
        <v>3</v>
      </c>
      <c r="AE1027" s="4">
        <v>3</v>
      </c>
      <c r="AF1027" s="4">
        <v>5</v>
      </c>
      <c r="AG1027" s="4">
        <v>4</v>
      </c>
      <c r="AH1027" s="4">
        <v>0</v>
      </c>
      <c r="AI1027" s="4">
        <v>3</v>
      </c>
      <c r="AJ1027" s="4"/>
      <c r="AK1027" s="4"/>
      <c r="AL1027" s="4"/>
      <c r="AM1027" s="4"/>
      <c r="AN1027" s="4"/>
      <c r="AO1027" s="4"/>
    </row>
    <row r="1028" spans="1:41" hidden="1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41" hidden="1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41" x14ac:dyDescent="0.3">
      <c r="A1030" s="4">
        <v>41</v>
      </c>
      <c r="B1030" s="4" t="s">
        <v>43</v>
      </c>
      <c r="C1030" s="4" t="s">
        <v>36</v>
      </c>
      <c r="D1030" s="4">
        <v>1283</v>
      </c>
      <c r="E1030" s="4" t="s">
        <v>45</v>
      </c>
      <c r="F1030" s="4">
        <v>5</v>
      </c>
      <c r="G1030" s="4">
        <v>5</v>
      </c>
      <c r="H1030" s="4" t="s">
        <v>51</v>
      </c>
      <c r="I1030" s="4">
        <v>1</v>
      </c>
      <c r="J1030" s="4">
        <v>1448</v>
      </c>
      <c r="K1030" s="4">
        <v>2</v>
      </c>
      <c r="L1030" s="4" t="s">
        <v>46</v>
      </c>
      <c r="M1030" s="4">
        <v>90</v>
      </c>
      <c r="N1030" s="4">
        <v>4</v>
      </c>
      <c r="O1030" s="4">
        <v>1</v>
      </c>
      <c r="P1030" s="4" t="s">
        <v>47</v>
      </c>
      <c r="Q1030" s="4">
        <v>3</v>
      </c>
      <c r="R1030" s="4" t="s">
        <v>48</v>
      </c>
      <c r="S1030" s="4">
        <v>2127</v>
      </c>
      <c r="T1030" s="4">
        <v>5561</v>
      </c>
      <c r="U1030" s="4">
        <v>2</v>
      </c>
      <c r="V1030" s="4" t="s">
        <v>42</v>
      </c>
      <c r="W1030" s="4" t="s">
        <v>35</v>
      </c>
      <c r="X1030" s="4">
        <v>12</v>
      </c>
      <c r="Y1030" s="4">
        <v>3</v>
      </c>
      <c r="Z1030" s="4">
        <v>1</v>
      </c>
      <c r="AA1030" s="4">
        <v>80</v>
      </c>
      <c r="AB1030" s="4">
        <v>0</v>
      </c>
      <c r="AC1030" s="4">
        <v>7</v>
      </c>
      <c r="AD1030" s="4">
        <v>5</v>
      </c>
      <c r="AE1030" s="4">
        <v>2</v>
      </c>
      <c r="AF1030" s="4">
        <v>4</v>
      </c>
      <c r="AG1030" s="4">
        <v>2</v>
      </c>
      <c r="AH1030" s="4">
        <v>0</v>
      </c>
      <c r="AI1030" s="4">
        <v>3</v>
      </c>
      <c r="AJ1030" s="4"/>
      <c r="AK1030" s="4"/>
      <c r="AL1030" s="4"/>
      <c r="AM1030" s="4"/>
      <c r="AN1030" s="4"/>
      <c r="AO1030" s="4"/>
    </row>
    <row r="1031" spans="1:41" hidden="1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41" hidden="1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41" hidden="1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41" x14ac:dyDescent="0.3">
      <c r="A1034" s="4">
        <v>39</v>
      </c>
      <c r="B1034" s="4" t="s">
        <v>35</v>
      </c>
      <c r="C1034" s="4" t="s">
        <v>55</v>
      </c>
      <c r="D1034" s="4">
        <v>592</v>
      </c>
      <c r="E1034" s="4" t="s">
        <v>45</v>
      </c>
      <c r="F1034" s="4">
        <v>2</v>
      </c>
      <c r="G1034" s="4">
        <v>3</v>
      </c>
      <c r="H1034" s="4" t="s">
        <v>38</v>
      </c>
      <c r="I1034" s="4">
        <v>1</v>
      </c>
      <c r="J1034" s="4">
        <v>1458</v>
      </c>
      <c r="K1034" s="4">
        <v>1</v>
      </c>
      <c r="L1034" s="4" t="s">
        <v>39</v>
      </c>
      <c r="M1034" s="4">
        <v>54</v>
      </c>
      <c r="N1034" s="4">
        <v>2</v>
      </c>
      <c r="O1034" s="4">
        <v>1</v>
      </c>
      <c r="P1034" s="4" t="s">
        <v>50</v>
      </c>
      <c r="Q1034" s="4">
        <v>1</v>
      </c>
      <c r="R1034" s="4" t="s">
        <v>41</v>
      </c>
      <c r="S1034" s="4">
        <v>3646</v>
      </c>
      <c r="T1034" s="4">
        <v>17181</v>
      </c>
      <c r="U1034" s="4">
        <v>2</v>
      </c>
      <c r="V1034" s="4" t="s">
        <v>42</v>
      </c>
      <c r="W1034" s="4" t="s">
        <v>35</v>
      </c>
      <c r="X1034" s="4">
        <v>23</v>
      </c>
      <c r="Y1034" s="4">
        <v>4</v>
      </c>
      <c r="Z1034" s="4">
        <v>2</v>
      </c>
      <c r="AA1034" s="4">
        <v>80</v>
      </c>
      <c r="AB1034" s="4">
        <v>0</v>
      </c>
      <c r="AC1034" s="4">
        <v>11</v>
      </c>
      <c r="AD1034" s="4">
        <v>2</v>
      </c>
      <c r="AE1034" s="4">
        <v>4</v>
      </c>
      <c r="AF1034" s="4">
        <v>1</v>
      </c>
      <c r="AG1034" s="4">
        <v>0</v>
      </c>
      <c r="AH1034" s="4">
        <v>0</v>
      </c>
      <c r="AI1034" s="4">
        <v>0</v>
      </c>
      <c r="AJ1034" s="4"/>
      <c r="AK1034" s="4"/>
      <c r="AL1034" s="4"/>
      <c r="AM1034" s="4"/>
      <c r="AN1034" s="4"/>
      <c r="AO1034" s="4"/>
    </row>
    <row r="1035" spans="1:41" hidden="1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41" x14ac:dyDescent="0.3">
      <c r="A1036" s="4">
        <v>45</v>
      </c>
      <c r="B1036" s="4" t="s">
        <v>43</v>
      </c>
      <c r="C1036" s="4" t="s">
        <v>36</v>
      </c>
      <c r="D1036" s="4">
        <v>1038</v>
      </c>
      <c r="E1036" s="4" t="s">
        <v>45</v>
      </c>
      <c r="F1036" s="4">
        <v>20</v>
      </c>
      <c r="G1036" s="4">
        <v>3</v>
      </c>
      <c r="H1036" s="4" t="s">
        <v>51</v>
      </c>
      <c r="I1036" s="4">
        <v>1</v>
      </c>
      <c r="J1036" s="4">
        <v>1460</v>
      </c>
      <c r="K1036" s="4">
        <v>2</v>
      </c>
      <c r="L1036" s="4" t="s">
        <v>46</v>
      </c>
      <c r="M1036" s="4">
        <v>95</v>
      </c>
      <c r="N1036" s="4">
        <v>1</v>
      </c>
      <c r="O1036" s="4">
        <v>3</v>
      </c>
      <c r="P1036" s="4" t="s">
        <v>54</v>
      </c>
      <c r="Q1036" s="4">
        <v>1</v>
      </c>
      <c r="R1036" s="4" t="s">
        <v>52</v>
      </c>
      <c r="S1036" s="4">
        <v>10851</v>
      </c>
      <c r="T1036" s="4">
        <v>19863</v>
      </c>
      <c r="U1036" s="4">
        <v>2</v>
      </c>
      <c r="V1036" s="4" t="s">
        <v>42</v>
      </c>
      <c r="W1036" s="4" t="s">
        <v>35</v>
      </c>
      <c r="X1036" s="4">
        <v>18</v>
      </c>
      <c r="Y1036" s="4">
        <v>3</v>
      </c>
      <c r="Z1036" s="4">
        <v>2</v>
      </c>
      <c r="AA1036" s="4">
        <v>80</v>
      </c>
      <c r="AB1036" s="4">
        <v>1</v>
      </c>
      <c r="AC1036" s="4">
        <v>24</v>
      </c>
      <c r="AD1036" s="4">
        <v>2</v>
      </c>
      <c r="AE1036" s="4">
        <v>3</v>
      </c>
      <c r="AF1036" s="4">
        <v>7</v>
      </c>
      <c r="AG1036" s="4">
        <v>7</v>
      </c>
      <c r="AH1036" s="4">
        <v>0</v>
      </c>
      <c r="AI1036" s="4">
        <v>7</v>
      </c>
      <c r="AJ1036" s="4"/>
      <c r="AK1036" s="4"/>
      <c r="AL1036" s="4"/>
      <c r="AM1036" s="4"/>
      <c r="AN1036" s="4"/>
      <c r="AO1036" s="4"/>
    </row>
    <row r="1037" spans="1:41" hidden="1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41" x14ac:dyDescent="0.3">
      <c r="A1038" s="4">
        <v>31</v>
      </c>
      <c r="B1038" s="4" t="s">
        <v>35</v>
      </c>
      <c r="C1038" s="4" t="s">
        <v>44</v>
      </c>
      <c r="D1038" s="4">
        <v>523</v>
      </c>
      <c r="E1038" s="4" t="s">
        <v>45</v>
      </c>
      <c r="F1038" s="4">
        <v>2</v>
      </c>
      <c r="G1038" s="4">
        <v>3</v>
      </c>
      <c r="H1038" s="4" t="s">
        <v>38</v>
      </c>
      <c r="I1038" s="4">
        <v>1</v>
      </c>
      <c r="J1038" s="4">
        <v>1464</v>
      </c>
      <c r="K1038" s="4">
        <v>2</v>
      </c>
      <c r="L1038" s="4" t="s">
        <v>46</v>
      </c>
      <c r="M1038" s="4">
        <v>94</v>
      </c>
      <c r="N1038" s="4">
        <v>3</v>
      </c>
      <c r="O1038" s="4">
        <v>1</v>
      </c>
      <c r="P1038" s="4" t="s">
        <v>50</v>
      </c>
      <c r="Q1038" s="4">
        <v>4</v>
      </c>
      <c r="R1038" s="4" t="s">
        <v>48</v>
      </c>
      <c r="S1038" s="4">
        <v>3722</v>
      </c>
      <c r="T1038" s="4">
        <v>21081</v>
      </c>
      <c r="U1038" s="4">
        <v>6</v>
      </c>
      <c r="V1038" s="4" t="s">
        <v>42</v>
      </c>
      <c r="W1038" s="4" t="s">
        <v>35</v>
      </c>
      <c r="X1038" s="4">
        <v>13</v>
      </c>
      <c r="Y1038" s="4">
        <v>3</v>
      </c>
      <c r="Z1038" s="4">
        <v>3</v>
      </c>
      <c r="AA1038" s="4">
        <v>80</v>
      </c>
      <c r="AB1038" s="4">
        <v>1</v>
      </c>
      <c r="AC1038" s="4">
        <v>7</v>
      </c>
      <c r="AD1038" s="4">
        <v>2</v>
      </c>
      <c r="AE1038" s="4">
        <v>1</v>
      </c>
      <c r="AF1038" s="4">
        <v>2</v>
      </c>
      <c r="AG1038" s="4">
        <v>2</v>
      </c>
      <c r="AH1038" s="4">
        <v>2</v>
      </c>
      <c r="AI1038" s="4">
        <v>2</v>
      </c>
      <c r="AJ1038" s="4"/>
      <c r="AK1038" s="4"/>
      <c r="AL1038" s="4"/>
      <c r="AM1038" s="4"/>
      <c r="AN1038" s="4"/>
      <c r="AO1038" s="4"/>
    </row>
    <row r="1039" spans="1:41" x14ac:dyDescent="0.3">
      <c r="A1039" s="4">
        <v>45</v>
      </c>
      <c r="B1039" s="4" t="s">
        <v>43</v>
      </c>
      <c r="C1039" s="4" t="s">
        <v>36</v>
      </c>
      <c r="D1039" s="4">
        <v>1448</v>
      </c>
      <c r="E1039" s="4" t="s">
        <v>45</v>
      </c>
      <c r="F1039" s="4">
        <v>29</v>
      </c>
      <c r="G1039" s="4">
        <v>3</v>
      </c>
      <c r="H1039" s="4" t="s">
        <v>60</v>
      </c>
      <c r="I1039" s="4">
        <v>1</v>
      </c>
      <c r="J1039" s="4">
        <v>1465</v>
      </c>
      <c r="K1039" s="4">
        <v>2</v>
      </c>
      <c r="L1039" s="4" t="s">
        <v>46</v>
      </c>
      <c r="M1039" s="4">
        <v>55</v>
      </c>
      <c r="N1039" s="4">
        <v>3</v>
      </c>
      <c r="O1039" s="4">
        <v>3</v>
      </c>
      <c r="P1039" s="4" t="s">
        <v>53</v>
      </c>
      <c r="Q1039" s="4">
        <v>4</v>
      </c>
      <c r="R1039" s="4" t="s">
        <v>48</v>
      </c>
      <c r="S1039" s="4">
        <v>9380</v>
      </c>
      <c r="T1039" s="4">
        <v>14720</v>
      </c>
      <c r="U1039" s="4">
        <v>4</v>
      </c>
      <c r="V1039" s="4" t="s">
        <v>42</v>
      </c>
      <c r="W1039" s="4" t="s">
        <v>35</v>
      </c>
      <c r="X1039" s="4">
        <v>18</v>
      </c>
      <c r="Y1039" s="4">
        <v>3</v>
      </c>
      <c r="Z1039" s="4">
        <v>4</v>
      </c>
      <c r="AA1039" s="4">
        <v>80</v>
      </c>
      <c r="AB1039" s="4">
        <v>2</v>
      </c>
      <c r="AC1039" s="4">
        <v>10</v>
      </c>
      <c r="AD1039" s="4">
        <v>4</v>
      </c>
      <c r="AE1039" s="4">
        <v>4</v>
      </c>
      <c r="AF1039" s="4">
        <v>3</v>
      </c>
      <c r="AG1039" s="4">
        <v>1</v>
      </c>
      <c r="AH1039" s="4">
        <v>1</v>
      </c>
      <c r="AI1039" s="4">
        <v>2</v>
      </c>
      <c r="AJ1039" s="4"/>
      <c r="AK1039" s="4"/>
      <c r="AL1039" s="4"/>
      <c r="AM1039" s="4"/>
      <c r="AN1039" s="4"/>
      <c r="AO1039" s="4"/>
    </row>
    <row r="1040" spans="1:41" hidden="1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hidden="1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hidden="1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hidden="1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hidden="1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hidden="1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hidden="1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hidden="1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hidden="1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hidden="1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hidden="1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hidden="1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hidden="1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hidden="1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hidden="1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hidden="1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hidden="1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41" hidden="1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41" hidden="1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41" hidden="1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41" x14ac:dyDescent="0.3">
      <c r="A1060" s="4">
        <v>34</v>
      </c>
      <c r="B1060" s="4" t="s">
        <v>35</v>
      </c>
      <c r="C1060" s="4" t="s">
        <v>36</v>
      </c>
      <c r="D1060" s="4">
        <v>790</v>
      </c>
      <c r="E1060" s="4" t="s">
        <v>37</v>
      </c>
      <c r="F1060" s="4">
        <v>24</v>
      </c>
      <c r="G1060" s="4">
        <v>4</v>
      </c>
      <c r="H1060" s="4" t="s">
        <v>51</v>
      </c>
      <c r="I1060" s="4">
        <v>1</v>
      </c>
      <c r="J1060" s="4">
        <v>1489</v>
      </c>
      <c r="K1060" s="4">
        <v>1</v>
      </c>
      <c r="L1060" s="4" t="s">
        <v>39</v>
      </c>
      <c r="M1060" s="4">
        <v>40</v>
      </c>
      <c r="N1060" s="4">
        <v>2</v>
      </c>
      <c r="O1060" s="4">
        <v>2</v>
      </c>
      <c r="P1060" s="4" t="s">
        <v>40</v>
      </c>
      <c r="Q1060" s="4">
        <v>2</v>
      </c>
      <c r="R1060" s="4" t="s">
        <v>41</v>
      </c>
      <c r="S1060" s="4">
        <v>4599</v>
      </c>
      <c r="T1060" s="4">
        <v>7815</v>
      </c>
      <c r="U1060" s="4">
        <v>0</v>
      </c>
      <c r="V1060" s="4" t="s">
        <v>42</v>
      </c>
      <c r="W1060" s="4" t="s">
        <v>35</v>
      </c>
      <c r="X1060" s="4">
        <v>23</v>
      </c>
      <c r="Y1060" s="4">
        <v>4</v>
      </c>
      <c r="Z1060" s="4">
        <v>3</v>
      </c>
      <c r="AA1060" s="4">
        <v>80</v>
      </c>
      <c r="AB1060" s="4">
        <v>0</v>
      </c>
      <c r="AC1060" s="4">
        <v>16</v>
      </c>
      <c r="AD1060" s="4">
        <v>2</v>
      </c>
      <c r="AE1060" s="4">
        <v>4</v>
      </c>
      <c r="AF1060" s="4">
        <v>15</v>
      </c>
      <c r="AG1060" s="4">
        <v>9</v>
      </c>
      <c r="AH1060" s="4">
        <v>10</v>
      </c>
      <c r="AI1060" s="4">
        <v>10</v>
      </c>
      <c r="AJ1060" s="4"/>
      <c r="AK1060" s="4"/>
      <c r="AL1060" s="4"/>
      <c r="AM1060" s="4"/>
      <c r="AN1060" s="4"/>
      <c r="AO1060" s="4"/>
    </row>
    <row r="1061" spans="1:41" hidden="1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41" x14ac:dyDescent="0.3">
      <c r="A1062" s="4">
        <v>24</v>
      </c>
      <c r="B1062" s="4" t="s">
        <v>35</v>
      </c>
      <c r="C1062" s="4" t="s">
        <v>44</v>
      </c>
      <c r="D1062" s="4">
        <v>381</v>
      </c>
      <c r="E1062" s="4" t="s">
        <v>45</v>
      </c>
      <c r="F1062" s="4">
        <v>9</v>
      </c>
      <c r="G1062" s="4">
        <v>3</v>
      </c>
      <c r="H1062" s="4" t="s">
        <v>51</v>
      </c>
      <c r="I1062" s="4">
        <v>1</v>
      </c>
      <c r="J1062" s="4">
        <v>1494</v>
      </c>
      <c r="K1062" s="4">
        <v>2</v>
      </c>
      <c r="L1062" s="4" t="s">
        <v>46</v>
      </c>
      <c r="M1062" s="4">
        <v>89</v>
      </c>
      <c r="N1062" s="4">
        <v>3</v>
      </c>
      <c r="O1062" s="4">
        <v>1</v>
      </c>
      <c r="P1062" s="4" t="s">
        <v>50</v>
      </c>
      <c r="Q1062" s="4">
        <v>1</v>
      </c>
      <c r="R1062" s="4" t="s">
        <v>41</v>
      </c>
      <c r="S1062" s="4">
        <v>3172</v>
      </c>
      <c r="T1062" s="4">
        <v>16998</v>
      </c>
      <c r="U1062" s="4">
        <v>2</v>
      </c>
      <c r="V1062" s="4" t="s">
        <v>42</v>
      </c>
      <c r="W1062" s="4" t="s">
        <v>35</v>
      </c>
      <c r="X1062" s="4">
        <v>11</v>
      </c>
      <c r="Y1062" s="4">
        <v>3</v>
      </c>
      <c r="Z1062" s="4">
        <v>3</v>
      </c>
      <c r="AA1062" s="4">
        <v>80</v>
      </c>
      <c r="AB1062" s="4">
        <v>0</v>
      </c>
      <c r="AC1062" s="4">
        <v>4</v>
      </c>
      <c r="AD1062" s="4">
        <v>2</v>
      </c>
      <c r="AE1062" s="4">
        <v>2</v>
      </c>
      <c r="AF1062" s="4">
        <v>0</v>
      </c>
      <c r="AG1062" s="4">
        <v>0</v>
      </c>
      <c r="AH1062" s="4">
        <v>0</v>
      </c>
      <c r="AI1062" s="4">
        <v>0</v>
      </c>
      <c r="AJ1062" s="4"/>
      <c r="AK1062" s="4"/>
      <c r="AL1062" s="4"/>
      <c r="AM1062" s="4"/>
      <c r="AN1062" s="4"/>
      <c r="AO1062" s="4"/>
    </row>
    <row r="1063" spans="1:41" hidden="1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41" x14ac:dyDescent="0.3">
      <c r="A1064" s="4">
        <v>44</v>
      </c>
      <c r="B1064" s="4" t="s">
        <v>43</v>
      </c>
      <c r="C1064" s="4" t="s">
        <v>44</v>
      </c>
      <c r="D1064" s="4">
        <v>1193</v>
      </c>
      <c r="E1064" s="4" t="s">
        <v>45</v>
      </c>
      <c r="F1064" s="4">
        <v>2</v>
      </c>
      <c r="G1064" s="4">
        <v>1</v>
      </c>
      <c r="H1064" s="4" t="s">
        <v>51</v>
      </c>
      <c r="I1064" s="4">
        <v>1</v>
      </c>
      <c r="J1064" s="4">
        <v>1496</v>
      </c>
      <c r="K1064" s="4">
        <v>2</v>
      </c>
      <c r="L1064" s="4" t="s">
        <v>46</v>
      </c>
      <c r="M1064" s="4">
        <v>86</v>
      </c>
      <c r="N1064" s="4">
        <v>3</v>
      </c>
      <c r="O1064" s="4">
        <v>3</v>
      </c>
      <c r="P1064" s="4" t="s">
        <v>53</v>
      </c>
      <c r="Q1064" s="4">
        <v>3</v>
      </c>
      <c r="R1064" s="4" t="s">
        <v>41</v>
      </c>
      <c r="S1064" s="4">
        <v>10209</v>
      </c>
      <c r="T1064" s="4">
        <v>19719</v>
      </c>
      <c r="U1064" s="4">
        <v>5</v>
      </c>
      <c r="V1064" s="4" t="s">
        <v>42</v>
      </c>
      <c r="W1064" s="4" t="s">
        <v>35</v>
      </c>
      <c r="X1064" s="4">
        <v>18</v>
      </c>
      <c r="Y1064" s="4">
        <v>3</v>
      </c>
      <c r="Z1064" s="4">
        <v>2</v>
      </c>
      <c r="AA1064" s="4">
        <v>80</v>
      </c>
      <c r="AB1064" s="4">
        <v>0</v>
      </c>
      <c r="AC1064" s="4">
        <v>16</v>
      </c>
      <c r="AD1064" s="4">
        <v>2</v>
      </c>
      <c r="AE1064" s="4">
        <v>2</v>
      </c>
      <c r="AF1064" s="4">
        <v>2</v>
      </c>
      <c r="AG1064" s="4">
        <v>2</v>
      </c>
      <c r="AH1064" s="4">
        <v>2</v>
      </c>
      <c r="AI1064" s="4">
        <v>2</v>
      </c>
      <c r="AJ1064" s="4"/>
      <c r="AK1064" s="4"/>
      <c r="AL1064" s="4"/>
      <c r="AM1064" s="4"/>
      <c r="AN1064" s="4"/>
      <c r="AO1064" s="4"/>
    </row>
    <row r="1065" spans="1:41" hidden="1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41" hidden="1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41" x14ac:dyDescent="0.3">
      <c r="A1067" s="4">
        <v>55</v>
      </c>
      <c r="B1067" s="4" t="s">
        <v>43</v>
      </c>
      <c r="C1067" s="4" t="s">
        <v>36</v>
      </c>
      <c r="D1067" s="4">
        <v>1229</v>
      </c>
      <c r="E1067" s="4" t="s">
        <v>45</v>
      </c>
      <c r="F1067" s="4">
        <v>4</v>
      </c>
      <c r="G1067" s="4">
        <v>4</v>
      </c>
      <c r="H1067" s="4" t="s">
        <v>38</v>
      </c>
      <c r="I1067" s="4">
        <v>1</v>
      </c>
      <c r="J1067" s="4">
        <v>1501</v>
      </c>
      <c r="K1067" s="4">
        <v>4</v>
      </c>
      <c r="L1067" s="4" t="s">
        <v>46</v>
      </c>
      <c r="M1067" s="4">
        <v>30</v>
      </c>
      <c r="N1067" s="4">
        <v>3</v>
      </c>
      <c r="O1067" s="4">
        <v>2</v>
      </c>
      <c r="P1067" s="4" t="s">
        <v>54</v>
      </c>
      <c r="Q1067" s="4">
        <v>3</v>
      </c>
      <c r="R1067" s="4" t="s">
        <v>48</v>
      </c>
      <c r="S1067" s="4">
        <v>4035</v>
      </c>
      <c r="T1067" s="4">
        <v>16143</v>
      </c>
      <c r="U1067" s="4">
        <v>0</v>
      </c>
      <c r="V1067" s="4" t="s">
        <v>42</v>
      </c>
      <c r="W1067" s="4" t="s">
        <v>35</v>
      </c>
      <c r="X1067" s="4">
        <v>16</v>
      </c>
      <c r="Y1067" s="4">
        <v>3</v>
      </c>
      <c r="Z1067" s="4">
        <v>2</v>
      </c>
      <c r="AA1067" s="4">
        <v>80</v>
      </c>
      <c r="AB1067" s="4">
        <v>0</v>
      </c>
      <c r="AC1067" s="4">
        <v>4</v>
      </c>
      <c r="AD1067" s="4">
        <v>2</v>
      </c>
      <c r="AE1067" s="4">
        <v>3</v>
      </c>
      <c r="AF1067" s="4">
        <v>3</v>
      </c>
      <c r="AG1067" s="4">
        <v>2</v>
      </c>
      <c r="AH1067" s="4">
        <v>1</v>
      </c>
      <c r="AI1067" s="4">
        <v>2</v>
      </c>
      <c r="AJ1067" s="4"/>
      <c r="AK1067" s="4"/>
      <c r="AL1067" s="4"/>
      <c r="AM1067" s="4"/>
      <c r="AN1067" s="4"/>
      <c r="AO1067" s="4"/>
    </row>
    <row r="1068" spans="1:41" hidden="1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41" x14ac:dyDescent="0.3">
      <c r="A1069" s="4">
        <v>47</v>
      </c>
      <c r="B1069" s="4" t="s">
        <v>43</v>
      </c>
      <c r="C1069" s="4" t="s">
        <v>36</v>
      </c>
      <c r="D1069" s="4">
        <v>571</v>
      </c>
      <c r="E1069" s="4" t="s">
        <v>37</v>
      </c>
      <c r="F1069" s="4">
        <v>14</v>
      </c>
      <c r="G1069" s="4">
        <v>3</v>
      </c>
      <c r="H1069" s="4" t="s">
        <v>51</v>
      </c>
      <c r="I1069" s="4">
        <v>1</v>
      </c>
      <c r="J1069" s="4">
        <v>1503</v>
      </c>
      <c r="K1069" s="4">
        <v>3</v>
      </c>
      <c r="L1069" s="4" t="s">
        <v>39</v>
      </c>
      <c r="M1069" s="4">
        <v>78</v>
      </c>
      <c r="N1069" s="4">
        <v>3</v>
      </c>
      <c r="O1069" s="4">
        <v>2</v>
      </c>
      <c r="P1069" s="4" t="s">
        <v>40</v>
      </c>
      <c r="Q1069" s="4">
        <v>3</v>
      </c>
      <c r="R1069" s="4" t="s">
        <v>48</v>
      </c>
      <c r="S1069" s="4">
        <v>4591</v>
      </c>
      <c r="T1069" s="4">
        <v>24200</v>
      </c>
      <c r="U1069" s="4">
        <v>3</v>
      </c>
      <c r="V1069" s="4" t="s">
        <v>42</v>
      </c>
      <c r="W1069" s="4" t="s">
        <v>35</v>
      </c>
      <c r="X1069" s="4">
        <v>17</v>
      </c>
      <c r="Y1069" s="4">
        <v>3</v>
      </c>
      <c r="Z1069" s="4">
        <v>3</v>
      </c>
      <c r="AA1069" s="4">
        <v>80</v>
      </c>
      <c r="AB1069" s="4">
        <v>1</v>
      </c>
      <c r="AC1069" s="4">
        <v>11</v>
      </c>
      <c r="AD1069" s="4">
        <v>4</v>
      </c>
      <c r="AE1069" s="4">
        <v>2</v>
      </c>
      <c r="AF1069" s="4">
        <v>5</v>
      </c>
      <c r="AG1069" s="4">
        <v>4</v>
      </c>
      <c r="AH1069" s="4">
        <v>1</v>
      </c>
      <c r="AI1069" s="4">
        <v>2</v>
      </c>
      <c r="AJ1069" s="4"/>
      <c r="AK1069" s="4"/>
      <c r="AL1069" s="4"/>
      <c r="AM1069" s="4"/>
      <c r="AN1069" s="4"/>
      <c r="AO1069" s="4"/>
    </row>
    <row r="1070" spans="1:41" hidden="1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41" hidden="1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41" hidden="1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41" hidden="1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41" hidden="1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41" hidden="1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41" x14ac:dyDescent="0.3">
      <c r="A1076" s="4">
        <v>33</v>
      </c>
      <c r="B1076" s="4" t="s">
        <v>43</v>
      </c>
      <c r="C1076" s="4" t="s">
        <v>36</v>
      </c>
      <c r="D1076" s="4">
        <v>516</v>
      </c>
      <c r="E1076" s="4" t="s">
        <v>45</v>
      </c>
      <c r="F1076" s="4">
        <v>8</v>
      </c>
      <c r="G1076" s="4">
        <v>5</v>
      </c>
      <c r="H1076" s="4" t="s">
        <v>38</v>
      </c>
      <c r="I1076" s="4">
        <v>1</v>
      </c>
      <c r="J1076" s="4">
        <v>1515</v>
      </c>
      <c r="K1076" s="4">
        <v>4</v>
      </c>
      <c r="L1076" s="4" t="s">
        <v>46</v>
      </c>
      <c r="M1076" s="4">
        <v>69</v>
      </c>
      <c r="N1076" s="4">
        <v>3</v>
      </c>
      <c r="O1076" s="4">
        <v>2</v>
      </c>
      <c r="P1076" s="4" t="s">
        <v>54</v>
      </c>
      <c r="Q1076" s="4">
        <v>3</v>
      </c>
      <c r="R1076" s="4" t="s">
        <v>41</v>
      </c>
      <c r="S1076" s="4">
        <v>6388</v>
      </c>
      <c r="T1076" s="4">
        <v>22049</v>
      </c>
      <c r="U1076" s="4">
        <v>2</v>
      </c>
      <c r="V1076" s="4" t="s">
        <v>42</v>
      </c>
      <c r="W1076" s="4" t="s">
        <v>35</v>
      </c>
      <c r="X1076" s="4">
        <v>17</v>
      </c>
      <c r="Y1076" s="4">
        <v>3</v>
      </c>
      <c r="Z1076" s="4">
        <v>1</v>
      </c>
      <c r="AA1076" s="4">
        <v>80</v>
      </c>
      <c r="AB1076" s="4">
        <v>0</v>
      </c>
      <c r="AC1076" s="4">
        <v>14</v>
      </c>
      <c r="AD1076" s="4">
        <v>6</v>
      </c>
      <c r="AE1076" s="4">
        <v>3</v>
      </c>
      <c r="AF1076" s="4">
        <v>0</v>
      </c>
      <c r="AG1076" s="4">
        <v>0</v>
      </c>
      <c r="AH1076" s="4">
        <v>0</v>
      </c>
      <c r="AI1076" s="4">
        <v>0</v>
      </c>
      <c r="AJ1076" s="4"/>
      <c r="AK1076" s="4"/>
      <c r="AL1076" s="4"/>
      <c r="AM1076" s="4"/>
      <c r="AN1076" s="4"/>
      <c r="AO1076" s="4"/>
    </row>
    <row r="1077" spans="1:41" hidden="1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41" hidden="1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41" hidden="1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41" hidden="1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41" hidden="1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41" hidden="1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41" hidden="1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41" hidden="1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41" hidden="1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41" x14ac:dyDescent="0.3">
      <c r="A1086" s="4">
        <v>34</v>
      </c>
      <c r="B1086" s="4" t="s">
        <v>43</v>
      </c>
      <c r="C1086" s="4" t="s">
        <v>36</v>
      </c>
      <c r="D1086" s="4">
        <v>971</v>
      </c>
      <c r="E1086" s="4" t="s">
        <v>37</v>
      </c>
      <c r="F1086" s="4">
        <v>1</v>
      </c>
      <c r="G1086" s="4">
        <v>3</v>
      </c>
      <c r="H1086" s="4" t="s">
        <v>60</v>
      </c>
      <c r="I1086" s="4">
        <v>1</v>
      </c>
      <c r="J1086" s="4">
        <v>1535</v>
      </c>
      <c r="K1086" s="4">
        <v>4</v>
      </c>
      <c r="L1086" s="4" t="s">
        <v>46</v>
      </c>
      <c r="M1086" s="4">
        <v>64</v>
      </c>
      <c r="N1086" s="4">
        <v>2</v>
      </c>
      <c r="O1086" s="4">
        <v>3</v>
      </c>
      <c r="P1086" s="4" t="s">
        <v>40</v>
      </c>
      <c r="Q1086" s="4">
        <v>3</v>
      </c>
      <c r="R1086" s="4" t="s">
        <v>48</v>
      </c>
      <c r="S1086" s="4">
        <v>7083</v>
      </c>
      <c r="T1086" s="4">
        <v>12288</v>
      </c>
      <c r="U1086" s="4">
        <v>1</v>
      </c>
      <c r="V1086" s="4" t="s">
        <v>42</v>
      </c>
      <c r="W1086" s="4" t="s">
        <v>35</v>
      </c>
      <c r="X1086" s="4">
        <v>14</v>
      </c>
      <c r="Y1086" s="4">
        <v>3</v>
      </c>
      <c r="Z1086" s="4">
        <v>4</v>
      </c>
      <c r="AA1086" s="4">
        <v>80</v>
      </c>
      <c r="AB1086" s="4">
        <v>0</v>
      </c>
      <c r="AC1086" s="4">
        <v>10</v>
      </c>
      <c r="AD1086" s="4">
        <v>3</v>
      </c>
      <c r="AE1086" s="4">
        <v>3</v>
      </c>
      <c r="AF1086" s="4">
        <v>10</v>
      </c>
      <c r="AG1086" s="4">
        <v>9</v>
      </c>
      <c r="AH1086" s="4">
        <v>8</v>
      </c>
      <c r="AI1086" s="4">
        <v>6</v>
      </c>
      <c r="AJ1086" s="4"/>
      <c r="AK1086" s="4"/>
      <c r="AL1086" s="4"/>
      <c r="AM1086" s="4"/>
      <c r="AN1086" s="4"/>
      <c r="AO1086" s="4"/>
    </row>
    <row r="1087" spans="1:41" hidden="1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41" x14ac:dyDescent="0.3">
      <c r="A1088" s="4">
        <v>50</v>
      </c>
      <c r="B1088" s="4" t="s">
        <v>43</v>
      </c>
      <c r="C1088" s="4" t="s">
        <v>44</v>
      </c>
      <c r="D1088" s="4">
        <v>333</v>
      </c>
      <c r="E1088" s="4" t="s">
        <v>45</v>
      </c>
      <c r="F1088" s="4">
        <v>22</v>
      </c>
      <c r="G1088" s="4">
        <v>5</v>
      </c>
      <c r="H1088" s="4" t="s">
        <v>51</v>
      </c>
      <c r="I1088" s="4">
        <v>1</v>
      </c>
      <c r="J1088" s="4">
        <v>1539</v>
      </c>
      <c r="K1088" s="4">
        <v>3</v>
      </c>
      <c r="L1088" s="4" t="s">
        <v>46</v>
      </c>
      <c r="M1088" s="4">
        <v>88</v>
      </c>
      <c r="N1088" s="4">
        <v>1</v>
      </c>
      <c r="O1088" s="4">
        <v>4</v>
      </c>
      <c r="P1088" s="4" t="s">
        <v>58</v>
      </c>
      <c r="Q1088" s="4">
        <v>4</v>
      </c>
      <c r="R1088" s="4" t="s">
        <v>41</v>
      </c>
      <c r="S1088" s="4">
        <v>14411</v>
      </c>
      <c r="T1088" s="4">
        <v>24450</v>
      </c>
      <c r="U1088" s="4">
        <v>1</v>
      </c>
      <c r="V1088" s="4" t="s">
        <v>42</v>
      </c>
      <c r="W1088" s="4" t="s">
        <v>35</v>
      </c>
      <c r="X1088" s="4">
        <v>13</v>
      </c>
      <c r="Y1088" s="4">
        <v>3</v>
      </c>
      <c r="Z1088" s="4">
        <v>4</v>
      </c>
      <c r="AA1088" s="4">
        <v>80</v>
      </c>
      <c r="AB1088" s="4">
        <v>0</v>
      </c>
      <c r="AC1088" s="4">
        <v>32</v>
      </c>
      <c r="AD1088" s="4">
        <v>2</v>
      </c>
      <c r="AE1088" s="4">
        <v>3</v>
      </c>
      <c r="AF1088" s="4">
        <v>32</v>
      </c>
      <c r="AG1088" s="4">
        <v>6</v>
      </c>
      <c r="AH1088" s="4">
        <v>13</v>
      </c>
      <c r="AI1088" s="4">
        <v>9</v>
      </c>
      <c r="AJ1088" s="4"/>
      <c r="AK1088" s="4"/>
      <c r="AL1088" s="4"/>
      <c r="AM1088" s="4"/>
      <c r="AN1088" s="4"/>
      <c r="AO1088" s="4"/>
    </row>
    <row r="1089" spans="1:41" x14ac:dyDescent="0.3">
      <c r="A1089" s="4">
        <v>34</v>
      </c>
      <c r="B1089" s="4" t="s">
        <v>43</v>
      </c>
      <c r="C1089" s="4" t="s">
        <v>36</v>
      </c>
      <c r="D1089" s="4">
        <v>1440</v>
      </c>
      <c r="E1089" s="4" t="s">
        <v>37</v>
      </c>
      <c r="F1089" s="4">
        <v>7</v>
      </c>
      <c r="G1089" s="4">
        <v>2</v>
      </c>
      <c r="H1089" s="4" t="s">
        <v>60</v>
      </c>
      <c r="I1089" s="4">
        <v>1</v>
      </c>
      <c r="J1089" s="4">
        <v>1541</v>
      </c>
      <c r="K1089" s="4">
        <v>2</v>
      </c>
      <c r="L1089" s="4" t="s">
        <v>46</v>
      </c>
      <c r="M1089" s="4">
        <v>55</v>
      </c>
      <c r="N1089" s="4">
        <v>3</v>
      </c>
      <c r="O1089" s="4">
        <v>1</v>
      </c>
      <c r="P1089" s="4" t="s">
        <v>57</v>
      </c>
      <c r="Q1089" s="4">
        <v>3</v>
      </c>
      <c r="R1089" s="4" t="s">
        <v>48</v>
      </c>
      <c r="S1089" s="4">
        <v>2308</v>
      </c>
      <c r="T1089" s="4">
        <v>4944</v>
      </c>
      <c r="U1089" s="4">
        <v>0</v>
      </c>
      <c r="V1089" s="4" t="s">
        <v>42</v>
      </c>
      <c r="W1089" s="4" t="s">
        <v>35</v>
      </c>
      <c r="X1089" s="4">
        <v>25</v>
      </c>
      <c r="Y1089" s="4">
        <v>4</v>
      </c>
      <c r="Z1089" s="4">
        <v>2</v>
      </c>
      <c r="AA1089" s="4">
        <v>80</v>
      </c>
      <c r="AB1089" s="4">
        <v>1</v>
      </c>
      <c r="AC1089" s="4">
        <v>12</v>
      </c>
      <c r="AD1089" s="4">
        <v>4</v>
      </c>
      <c r="AE1089" s="4">
        <v>3</v>
      </c>
      <c r="AF1089" s="4">
        <v>11</v>
      </c>
      <c r="AG1089" s="4">
        <v>10</v>
      </c>
      <c r="AH1089" s="4">
        <v>5</v>
      </c>
      <c r="AI1089" s="4">
        <v>7</v>
      </c>
      <c r="AJ1089" s="4"/>
      <c r="AK1089" s="4"/>
      <c r="AL1089" s="4"/>
      <c r="AM1089" s="4"/>
      <c r="AN1089" s="4"/>
      <c r="AO1089" s="4"/>
    </row>
    <row r="1090" spans="1:41" hidden="1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41" hidden="1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41" hidden="1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41" hidden="1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41" hidden="1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41" x14ac:dyDescent="0.3">
      <c r="A1095" s="4">
        <v>42</v>
      </c>
      <c r="B1095" s="4" t="s">
        <v>43</v>
      </c>
      <c r="C1095" s="4" t="s">
        <v>44</v>
      </c>
      <c r="D1095" s="4">
        <v>288</v>
      </c>
      <c r="E1095" s="4" t="s">
        <v>45</v>
      </c>
      <c r="F1095" s="4">
        <v>2</v>
      </c>
      <c r="G1095" s="4">
        <v>3</v>
      </c>
      <c r="H1095" s="4" t="s">
        <v>38</v>
      </c>
      <c r="I1095" s="4">
        <v>1</v>
      </c>
      <c r="J1095" s="4">
        <v>1547</v>
      </c>
      <c r="K1095" s="4">
        <v>4</v>
      </c>
      <c r="L1095" s="4" t="s">
        <v>46</v>
      </c>
      <c r="M1095" s="4">
        <v>40</v>
      </c>
      <c r="N1095" s="4">
        <v>3</v>
      </c>
      <c r="O1095" s="4">
        <v>3</v>
      </c>
      <c r="P1095" s="4" t="s">
        <v>54</v>
      </c>
      <c r="Q1095" s="4">
        <v>4</v>
      </c>
      <c r="R1095" s="4" t="s">
        <v>48</v>
      </c>
      <c r="S1095" s="4">
        <v>10124</v>
      </c>
      <c r="T1095" s="4">
        <v>18611</v>
      </c>
      <c r="U1095" s="4">
        <v>2</v>
      </c>
      <c r="V1095" s="4" t="s">
        <v>42</v>
      </c>
      <c r="W1095" s="4" t="s">
        <v>35</v>
      </c>
      <c r="X1095" s="4">
        <v>14</v>
      </c>
      <c r="Y1095" s="4">
        <v>3</v>
      </c>
      <c r="Z1095" s="4">
        <v>3</v>
      </c>
      <c r="AA1095" s="4">
        <v>80</v>
      </c>
      <c r="AB1095" s="4">
        <v>1</v>
      </c>
      <c r="AC1095" s="4">
        <v>24</v>
      </c>
      <c r="AD1095" s="4">
        <v>3</v>
      </c>
      <c r="AE1095" s="4">
        <v>1</v>
      </c>
      <c r="AF1095" s="4">
        <v>20</v>
      </c>
      <c r="AG1095" s="4">
        <v>8</v>
      </c>
      <c r="AH1095" s="4">
        <v>13</v>
      </c>
      <c r="AI1095" s="4">
        <v>9</v>
      </c>
      <c r="AJ1095" s="4"/>
      <c r="AK1095" s="4"/>
      <c r="AL1095" s="4"/>
      <c r="AM1095" s="4"/>
      <c r="AN1095" s="4"/>
      <c r="AO1095" s="4"/>
    </row>
    <row r="1096" spans="1:41" hidden="1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41" x14ac:dyDescent="0.3">
      <c r="A1097" s="4">
        <v>33</v>
      </c>
      <c r="B1097" s="4" t="s">
        <v>43</v>
      </c>
      <c r="C1097" s="4" t="s">
        <v>36</v>
      </c>
      <c r="D1097" s="4">
        <v>589</v>
      </c>
      <c r="E1097" s="4" t="s">
        <v>45</v>
      </c>
      <c r="F1097" s="4">
        <v>28</v>
      </c>
      <c r="G1097" s="4">
        <v>4</v>
      </c>
      <c r="H1097" s="4" t="s">
        <v>38</v>
      </c>
      <c r="I1097" s="4">
        <v>1</v>
      </c>
      <c r="J1097" s="4">
        <v>1549</v>
      </c>
      <c r="K1097" s="4">
        <v>2</v>
      </c>
      <c r="L1097" s="4" t="s">
        <v>46</v>
      </c>
      <c r="M1097" s="4">
        <v>79</v>
      </c>
      <c r="N1097" s="4">
        <v>3</v>
      </c>
      <c r="O1097" s="4">
        <v>2</v>
      </c>
      <c r="P1097" s="4" t="s">
        <v>50</v>
      </c>
      <c r="Q1097" s="4">
        <v>3</v>
      </c>
      <c r="R1097" s="4" t="s">
        <v>48</v>
      </c>
      <c r="S1097" s="4">
        <v>5207</v>
      </c>
      <c r="T1097" s="4">
        <v>22949</v>
      </c>
      <c r="U1097" s="4">
        <v>1</v>
      </c>
      <c r="V1097" s="4" t="s">
        <v>42</v>
      </c>
      <c r="W1097" s="4" t="s">
        <v>35</v>
      </c>
      <c r="X1097" s="4">
        <v>12</v>
      </c>
      <c r="Y1097" s="4">
        <v>3</v>
      </c>
      <c r="Z1097" s="4">
        <v>2</v>
      </c>
      <c r="AA1097" s="4">
        <v>80</v>
      </c>
      <c r="AB1097" s="4">
        <v>1</v>
      </c>
      <c r="AC1097" s="4">
        <v>15</v>
      </c>
      <c r="AD1097" s="4">
        <v>3</v>
      </c>
      <c r="AE1097" s="4">
        <v>3</v>
      </c>
      <c r="AF1097" s="4">
        <v>15</v>
      </c>
      <c r="AG1097" s="4">
        <v>14</v>
      </c>
      <c r="AH1097" s="4">
        <v>5</v>
      </c>
      <c r="AI1097" s="4">
        <v>7</v>
      </c>
      <c r="AJ1097" s="4"/>
      <c r="AK1097" s="4"/>
      <c r="AL1097" s="4"/>
      <c r="AM1097" s="4"/>
      <c r="AN1097" s="4"/>
      <c r="AO1097" s="4"/>
    </row>
    <row r="1098" spans="1:41" x14ac:dyDescent="0.3">
      <c r="A1098" s="4">
        <v>40</v>
      </c>
      <c r="B1098" s="4" t="s">
        <v>43</v>
      </c>
      <c r="C1098" s="4" t="s">
        <v>36</v>
      </c>
      <c r="D1098" s="4">
        <v>898</v>
      </c>
      <c r="E1098" s="4" t="s">
        <v>61</v>
      </c>
      <c r="F1098" s="4">
        <v>6</v>
      </c>
      <c r="G1098" s="4">
        <v>2</v>
      </c>
      <c r="H1098" s="4" t="s">
        <v>51</v>
      </c>
      <c r="I1098" s="4">
        <v>1</v>
      </c>
      <c r="J1098" s="4">
        <v>1550</v>
      </c>
      <c r="K1098" s="4">
        <v>3</v>
      </c>
      <c r="L1098" s="4" t="s">
        <v>46</v>
      </c>
      <c r="M1098" s="4">
        <v>38</v>
      </c>
      <c r="N1098" s="4">
        <v>3</v>
      </c>
      <c r="O1098" s="4">
        <v>4</v>
      </c>
      <c r="P1098" s="4" t="s">
        <v>56</v>
      </c>
      <c r="Q1098" s="4">
        <v>4</v>
      </c>
      <c r="R1098" s="4" t="s">
        <v>41</v>
      </c>
      <c r="S1098" s="4">
        <v>16437</v>
      </c>
      <c r="T1098" s="4">
        <v>17381</v>
      </c>
      <c r="U1098" s="4">
        <v>1</v>
      </c>
      <c r="V1098" s="4" t="s">
        <v>42</v>
      </c>
      <c r="W1098" s="4" t="s">
        <v>35</v>
      </c>
      <c r="X1098" s="4">
        <v>21</v>
      </c>
      <c r="Y1098" s="4">
        <v>4</v>
      </c>
      <c r="Z1098" s="4">
        <v>4</v>
      </c>
      <c r="AA1098" s="4">
        <v>80</v>
      </c>
      <c r="AB1098" s="4">
        <v>0</v>
      </c>
      <c r="AC1098" s="4">
        <v>21</v>
      </c>
      <c r="AD1098" s="4">
        <v>2</v>
      </c>
      <c r="AE1098" s="4">
        <v>3</v>
      </c>
      <c r="AF1098" s="4">
        <v>21</v>
      </c>
      <c r="AG1098" s="4">
        <v>7</v>
      </c>
      <c r="AH1098" s="4">
        <v>7</v>
      </c>
      <c r="AI1098" s="4">
        <v>7</v>
      </c>
      <c r="AJ1098" s="4"/>
      <c r="AK1098" s="4"/>
      <c r="AL1098" s="4"/>
      <c r="AM1098" s="4"/>
      <c r="AN1098" s="4"/>
      <c r="AO1098" s="4"/>
    </row>
    <row r="1099" spans="1:41" hidden="1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41" x14ac:dyDescent="0.3">
      <c r="A1100" s="4">
        <v>40</v>
      </c>
      <c r="B1100" s="4" t="s">
        <v>43</v>
      </c>
      <c r="C1100" s="4" t="s">
        <v>55</v>
      </c>
      <c r="D1100" s="4">
        <v>1142</v>
      </c>
      <c r="E1100" s="4" t="s">
        <v>45</v>
      </c>
      <c r="F1100" s="4">
        <v>8</v>
      </c>
      <c r="G1100" s="4">
        <v>2</v>
      </c>
      <c r="H1100" s="4" t="s">
        <v>38</v>
      </c>
      <c r="I1100" s="4">
        <v>1</v>
      </c>
      <c r="J1100" s="4">
        <v>1552</v>
      </c>
      <c r="K1100" s="4">
        <v>4</v>
      </c>
      <c r="L1100" s="4" t="s">
        <v>46</v>
      </c>
      <c r="M1100" s="4">
        <v>72</v>
      </c>
      <c r="N1100" s="4">
        <v>3</v>
      </c>
      <c r="O1100" s="4">
        <v>2</v>
      </c>
      <c r="P1100" s="4" t="s">
        <v>54</v>
      </c>
      <c r="Q1100" s="4">
        <v>4</v>
      </c>
      <c r="R1100" s="4" t="s">
        <v>52</v>
      </c>
      <c r="S1100" s="4">
        <v>4069</v>
      </c>
      <c r="T1100" s="4">
        <v>8841</v>
      </c>
      <c r="U1100" s="4">
        <v>3</v>
      </c>
      <c r="V1100" s="4" t="s">
        <v>42</v>
      </c>
      <c r="W1100" s="4" t="s">
        <v>35</v>
      </c>
      <c r="X1100" s="4">
        <v>18</v>
      </c>
      <c r="Y1100" s="4">
        <v>3</v>
      </c>
      <c r="Z1100" s="4">
        <v>3</v>
      </c>
      <c r="AA1100" s="4">
        <v>80</v>
      </c>
      <c r="AB1100" s="4">
        <v>0</v>
      </c>
      <c r="AC1100" s="4">
        <v>8</v>
      </c>
      <c r="AD1100" s="4">
        <v>2</v>
      </c>
      <c r="AE1100" s="4">
        <v>3</v>
      </c>
      <c r="AF1100" s="4">
        <v>2</v>
      </c>
      <c r="AG1100" s="4">
        <v>2</v>
      </c>
      <c r="AH1100" s="4">
        <v>2</v>
      </c>
      <c r="AI1100" s="4">
        <v>2</v>
      </c>
      <c r="AJ1100" s="4"/>
      <c r="AK1100" s="4"/>
      <c r="AL1100" s="4"/>
      <c r="AM1100" s="4"/>
      <c r="AN1100" s="4"/>
      <c r="AO1100" s="4"/>
    </row>
    <row r="1101" spans="1:41" hidden="1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41" hidden="1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41" hidden="1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41" x14ac:dyDescent="0.3">
      <c r="A1104" s="4">
        <v>36</v>
      </c>
      <c r="B1104" s="4" t="s">
        <v>43</v>
      </c>
      <c r="C1104" s="4" t="s">
        <v>36</v>
      </c>
      <c r="D1104" s="4">
        <v>1157</v>
      </c>
      <c r="E1104" s="4" t="s">
        <v>37</v>
      </c>
      <c r="F1104" s="4">
        <v>2</v>
      </c>
      <c r="G1104" s="4">
        <v>4</v>
      </c>
      <c r="H1104" s="4" t="s">
        <v>38</v>
      </c>
      <c r="I1104" s="4">
        <v>1</v>
      </c>
      <c r="J1104" s="4">
        <v>1556</v>
      </c>
      <c r="K1104" s="4">
        <v>3</v>
      </c>
      <c r="L1104" s="4" t="s">
        <v>46</v>
      </c>
      <c r="M1104" s="4">
        <v>70</v>
      </c>
      <c r="N1104" s="4">
        <v>3</v>
      </c>
      <c r="O1104" s="4">
        <v>1</v>
      </c>
      <c r="P1104" s="4" t="s">
        <v>57</v>
      </c>
      <c r="Q1104" s="4">
        <v>4</v>
      </c>
      <c r="R1104" s="4" t="s">
        <v>41</v>
      </c>
      <c r="S1104" s="4">
        <v>2644</v>
      </c>
      <c r="T1104" s="4">
        <v>17001</v>
      </c>
      <c r="U1104" s="4">
        <v>3</v>
      </c>
      <c r="V1104" s="4" t="s">
        <v>42</v>
      </c>
      <c r="W1104" s="4" t="s">
        <v>35</v>
      </c>
      <c r="X1104" s="4">
        <v>21</v>
      </c>
      <c r="Y1104" s="4">
        <v>4</v>
      </c>
      <c r="Z1104" s="4">
        <v>4</v>
      </c>
      <c r="AA1104" s="4">
        <v>80</v>
      </c>
      <c r="AB1104" s="4">
        <v>0</v>
      </c>
      <c r="AC1104" s="4">
        <v>7</v>
      </c>
      <c r="AD1104" s="4">
        <v>3</v>
      </c>
      <c r="AE1104" s="4">
        <v>2</v>
      </c>
      <c r="AF1104" s="4">
        <v>3</v>
      </c>
      <c r="AG1104" s="4">
        <v>2</v>
      </c>
      <c r="AH1104" s="4">
        <v>1</v>
      </c>
      <c r="AI1104" s="4">
        <v>2</v>
      </c>
      <c r="AJ1104" s="4"/>
      <c r="AK1104" s="4"/>
      <c r="AL1104" s="4"/>
      <c r="AM1104" s="4"/>
      <c r="AN1104" s="4"/>
      <c r="AO1104" s="4"/>
    </row>
    <row r="1105" spans="1:41" hidden="1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41" hidden="1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41" hidden="1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41" hidden="1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41" hidden="1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41" hidden="1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41" hidden="1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41" x14ac:dyDescent="0.3">
      <c r="A1112" s="4">
        <v>35</v>
      </c>
      <c r="B1112" s="4" t="s">
        <v>35</v>
      </c>
      <c r="C1112" s="4" t="s">
        <v>36</v>
      </c>
      <c r="D1112" s="4">
        <v>104</v>
      </c>
      <c r="E1112" s="4" t="s">
        <v>45</v>
      </c>
      <c r="F1112" s="4">
        <v>2</v>
      </c>
      <c r="G1112" s="4">
        <v>3</v>
      </c>
      <c r="H1112" s="4" t="s">
        <v>38</v>
      </c>
      <c r="I1112" s="4">
        <v>1</v>
      </c>
      <c r="J1112" s="4">
        <v>1569</v>
      </c>
      <c r="K1112" s="4">
        <v>1</v>
      </c>
      <c r="L1112" s="4" t="s">
        <v>39</v>
      </c>
      <c r="M1112" s="4">
        <v>69</v>
      </c>
      <c r="N1112" s="4">
        <v>3</v>
      </c>
      <c r="O1112" s="4">
        <v>1</v>
      </c>
      <c r="P1112" s="4" t="s">
        <v>50</v>
      </c>
      <c r="Q1112" s="4">
        <v>1</v>
      </c>
      <c r="R1112" s="4" t="s">
        <v>52</v>
      </c>
      <c r="S1112" s="4">
        <v>2074</v>
      </c>
      <c r="T1112" s="4">
        <v>26619</v>
      </c>
      <c r="U1112" s="4">
        <v>1</v>
      </c>
      <c r="V1112" s="4" t="s">
        <v>42</v>
      </c>
      <c r="W1112" s="4" t="s">
        <v>35</v>
      </c>
      <c r="X1112" s="4">
        <v>12</v>
      </c>
      <c r="Y1112" s="4">
        <v>3</v>
      </c>
      <c r="Z1112" s="4">
        <v>4</v>
      </c>
      <c r="AA1112" s="4">
        <v>80</v>
      </c>
      <c r="AB1112" s="4">
        <v>1</v>
      </c>
      <c r="AC1112" s="4">
        <v>1</v>
      </c>
      <c r="AD1112" s="4">
        <v>2</v>
      </c>
      <c r="AE1112" s="4">
        <v>3</v>
      </c>
      <c r="AF1112" s="4">
        <v>1</v>
      </c>
      <c r="AG1112" s="4">
        <v>0</v>
      </c>
      <c r="AH1112" s="4">
        <v>0</v>
      </c>
      <c r="AI1112" s="4">
        <v>0</v>
      </c>
      <c r="AJ1112" s="4"/>
      <c r="AK1112" s="4"/>
      <c r="AL1112" s="4"/>
      <c r="AM1112" s="4"/>
      <c r="AN1112" s="4"/>
      <c r="AO1112" s="4"/>
    </row>
    <row r="1113" spans="1:41" hidden="1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41" hidden="1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41" hidden="1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41" hidden="1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41" hidden="1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41" hidden="1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41" hidden="1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41" hidden="1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41" hidden="1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41" hidden="1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41" hidden="1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41" x14ac:dyDescent="0.3">
      <c r="A1124" s="4">
        <v>29</v>
      </c>
      <c r="B1124" s="4" t="s">
        <v>43</v>
      </c>
      <c r="C1124" s="4" t="s">
        <v>36</v>
      </c>
      <c r="D1124" s="4">
        <v>1370</v>
      </c>
      <c r="E1124" s="4" t="s">
        <v>45</v>
      </c>
      <c r="F1124" s="4">
        <v>3</v>
      </c>
      <c r="G1124" s="4">
        <v>1</v>
      </c>
      <c r="H1124" s="4" t="s">
        <v>51</v>
      </c>
      <c r="I1124" s="4">
        <v>1</v>
      </c>
      <c r="J1124" s="4">
        <v>1586</v>
      </c>
      <c r="K1124" s="4">
        <v>2</v>
      </c>
      <c r="L1124" s="4" t="s">
        <v>46</v>
      </c>
      <c r="M1124" s="4">
        <v>87</v>
      </c>
      <c r="N1124" s="4">
        <v>3</v>
      </c>
      <c r="O1124" s="4">
        <v>1</v>
      </c>
      <c r="P1124" s="4" t="s">
        <v>50</v>
      </c>
      <c r="Q1124" s="4">
        <v>1</v>
      </c>
      <c r="R1124" s="4" t="s">
        <v>41</v>
      </c>
      <c r="S1124" s="4">
        <v>4723</v>
      </c>
      <c r="T1124" s="4">
        <v>16213</v>
      </c>
      <c r="U1124" s="4">
        <v>1</v>
      </c>
      <c r="V1124" s="4" t="s">
        <v>42</v>
      </c>
      <c r="W1124" s="4" t="s">
        <v>35</v>
      </c>
      <c r="X1124" s="4">
        <v>18</v>
      </c>
      <c r="Y1124" s="4">
        <v>3</v>
      </c>
      <c r="Z1124" s="4">
        <v>4</v>
      </c>
      <c r="AA1124" s="4">
        <v>80</v>
      </c>
      <c r="AB1124" s="4">
        <v>0</v>
      </c>
      <c r="AC1124" s="4">
        <v>10</v>
      </c>
      <c r="AD1124" s="4">
        <v>3</v>
      </c>
      <c r="AE1124" s="4">
        <v>3</v>
      </c>
      <c r="AF1124" s="4">
        <v>10</v>
      </c>
      <c r="AG1124" s="4">
        <v>9</v>
      </c>
      <c r="AH1124" s="4">
        <v>1</v>
      </c>
      <c r="AI1124" s="4">
        <v>5</v>
      </c>
      <c r="AJ1124" s="4"/>
      <c r="AK1124" s="4"/>
      <c r="AL1124" s="4"/>
      <c r="AM1124" s="4"/>
      <c r="AN1124" s="4"/>
      <c r="AO1124" s="4"/>
    </row>
    <row r="1125" spans="1:41" x14ac:dyDescent="0.3">
      <c r="A1125" s="4">
        <v>35</v>
      </c>
      <c r="B1125" s="4" t="s">
        <v>43</v>
      </c>
      <c r="C1125" s="4" t="s">
        <v>36</v>
      </c>
      <c r="D1125" s="4">
        <v>670</v>
      </c>
      <c r="E1125" s="4" t="s">
        <v>45</v>
      </c>
      <c r="F1125" s="4">
        <v>10</v>
      </c>
      <c r="G1125" s="4">
        <v>4</v>
      </c>
      <c r="H1125" s="4" t="s">
        <v>51</v>
      </c>
      <c r="I1125" s="4">
        <v>1</v>
      </c>
      <c r="J1125" s="4">
        <v>1587</v>
      </c>
      <c r="K1125" s="4">
        <v>1</v>
      </c>
      <c r="L1125" s="4" t="s">
        <v>39</v>
      </c>
      <c r="M1125" s="4">
        <v>51</v>
      </c>
      <c r="N1125" s="4">
        <v>3</v>
      </c>
      <c r="O1125" s="4">
        <v>2</v>
      </c>
      <c r="P1125" s="4" t="s">
        <v>54</v>
      </c>
      <c r="Q1125" s="4">
        <v>3</v>
      </c>
      <c r="R1125" s="4" t="s">
        <v>41</v>
      </c>
      <c r="S1125" s="4">
        <v>6142</v>
      </c>
      <c r="T1125" s="4">
        <v>4223</v>
      </c>
      <c r="U1125" s="4">
        <v>3</v>
      </c>
      <c r="V1125" s="4" t="s">
        <v>42</v>
      </c>
      <c r="W1125" s="4" t="s">
        <v>35</v>
      </c>
      <c r="X1125" s="4">
        <v>16</v>
      </c>
      <c r="Y1125" s="4">
        <v>3</v>
      </c>
      <c r="Z1125" s="4">
        <v>3</v>
      </c>
      <c r="AA1125" s="4">
        <v>80</v>
      </c>
      <c r="AB1125" s="4">
        <v>0</v>
      </c>
      <c r="AC1125" s="4">
        <v>10</v>
      </c>
      <c r="AD1125" s="4">
        <v>4</v>
      </c>
      <c r="AE1125" s="4">
        <v>3</v>
      </c>
      <c r="AF1125" s="4">
        <v>5</v>
      </c>
      <c r="AG1125" s="4">
        <v>2</v>
      </c>
      <c r="AH1125" s="4">
        <v>0</v>
      </c>
      <c r="AI1125" s="4">
        <v>4</v>
      </c>
      <c r="AJ1125" s="4"/>
      <c r="AK1125" s="4"/>
      <c r="AL1125" s="4"/>
      <c r="AM1125" s="4"/>
      <c r="AN1125" s="4"/>
      <c r="AO1125" s="4"/>
    </row>
    <row r="1126" spans="1:41" hidden="1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41" hidden="1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41" x14ac:dyDescent="0.3">
      <c r="A1128" s="4">
        <v>50</v>
      </c>
      <c r="B1128" s="4" t="s">
        <v>43</v>
      </c>
      <c r="C1128" s="4" t="s">
        <v>36</v>
      </c>
      <c r="D1128" s="4">
        <v>264</v>
      </c>
      <c r="E1128" s="4" t="s">
        <v>37</v>
      </c>
      <c r="F1128" s="4">
        <v>9</v>
      </c>
      <c r="G1128" s="4">
        <v>3</v>
      </c>
      <c r="H1128" s="4" t="s">
        <v>59</v>
      </c>
      <c r="I1128" s="4">
        <v>1</v>
      </c>
      <c r="J1128" s="4">
        <v>1591</v>
      </c>
      <c r="K1128" s="4">
        <v>3</v>
      </c>
      <c r="L1128" s="4" t="s">
        <v>46</v>
      </c>
      <c r="M1128" s="4">
        <v>59</v>
      </c>
      <c r="N1128" s="4">
        <v>3</v>
      </c>
      <c r="O1128" s="4">
        <v>5</v>
      </c>
      <c r="P1128" s="4" t="s">
        <v>56</v>
      </c>
      <c r="Q1128" s="4">
        <v>3</v>
      </c>
      <c r="R1128" s="4" t="s">
        <v>48</v>
      </c>
      <c r="S1128" s="4">
        <v>19331</v>
      </c>
      <c r="T1128" s="4">
        <v>19519</v>
      </c>
      <c r="U1128" s="4">
        <v>4</v>
      </c>
      <c r="V1128" s="4" t="s">
        <v>42</v>
      </c>
      <c r="W1128" s="4" t="s">
        <v>35</v>
      </c>
      <c r="X1128" s="4">
        <v>16</v>
      </c>
      <c r="Y1128" s="4">
        <v>3</v>
      </c>
      <c r="Z1128" s="4">
        <v>3</v>
      </c>
      <c r="AA1128" s="4">
        <v>80</v>
      </c>
      <c r="AB1128" s="4">
        <v>1</v>
      </c>
      <c r="AC1128" s="4">
        <v>27</v>
      </c>
      <c r="AD1128" s="4">
        <v>2</v>
      </c>
      <c r="AE1128" s="4">
        <v>3</v>
      </c>
      <c r="AF1128" s="4">
        <v>1</v>
      </c>
      <c r="AG1128" s="4">
        <v>0</v>
      </c>
      <c r="AH1128" s="4">
        <v>0</v>
      </c>
      <c r="AI1128" s="4">
        <v>0</v>
      </c>
      <c r="AJ1128" s="4"/>
      <c r="AK1128" s="4"/>
      <c r="AL1128" s="4"/>
      <c r="AM1128" s="4"/>
      <c r="AN1128" s="4"/>
      <c r="AO1128" s="4"/>
    </row>
    <row r="1129" spans="1:41" hidden="1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41" x14ac:dyDescent="0.3">
      <c r="A1130" s="4">
        <v>36</v>
      </c>
      <c r="B1130" s="4" t="s">
        <v>43</v>
      </c>
      <c r="C1130" s="4" t="s">
        <v>44</v>
      </c>
      <c r="D1130" s="4">
        <v>1302</v>
      </c>
      <c r="E1130" s="4" t="s">
        <v>45</v>
      </c>
      <c r="F1130" s="4">
        <v>6</v>
      </c>
      <c r="G1130" s="4">
        <v>4</v>
      </c>
      <c r="H1130" s="4" t="s">
        <v>38</v>
      </c>
      <c r="I1130" s="4">
        <v>1</v>
      </c>
      <c r="J1130" s="4">
        <v>1594</v>
      </c>
      <c r="K1130" s="4">
        <v>1</v>
      </c>
      <c r="L1130" s="4" t="s">
        <v>46</v>
      </c>
      <c r="M1130" s="4">
        <v>80</v>
      </c>
      <c r="N1130" s="4">
        <v>4</v>
      </c>
      <c r="O1130" s="4">
        <v>2</v>
      </c>
      <c r="P1130" s="4" t="s">
        <v>50</v>
      </c>
      <c r="Q1130" s="4">
        <v>1</v>
      </c>
      <c r="R1130" s="4" t="s">
        <v>48</v>
      </c>
      <c r="S1130" s="4">
        <v>5562</v>
      </c>
      <c r="T1130" s="4">
        <v>19711</v>
      </c>
      <c r="U1130" s="4">
        <v>3</v>
      </c>
      <c r="V1130" s="4" t="s">
        <v>42</v>
      </c>
      <c r="W1130" s="4" t="s">
        <v>35</v>
      </c>
      <c r="X1130" s="4">
        <v>13</v>
      </c>
      <c r="Y1130" s="4">
        <v>3</v>
      </c>
      <c r="Z1130" s="4">
        <v>4</v>
      </c>
      <c r="AA1130" s="4">
        <v>80</v>
      </c>
      <c r="AB1130" s="4">
        <v>1</v>
      </c>
      <c r="AC1130" s="4">
        <v>9</v>
      </c>
      <c r="AD1130" s="4">
        <v>3</v>
      </c>
      <c r="AE1130" s="4">
        <v>3</v>
      </c>
      <c r="AF1130" s="4">
        <v>3</v>
      </c>
      <c r="AG1130" s="4">
        <v>2</v>
      </c>
      <c r="AH1130" s="4">
        <v>0</v>
      </c>
      <c r="AI1130" s="4">
        <v>2</v>
      </c>
      <c r="AJ1130" s="4"/>
      <c r="AK1130" s="4"/>
      <c r="AL1130" s="4"/>
      <c r="AM1130" s="4"/>
      <c r="AN1130" s="4"/>
      <c r="AO1130" s="4"/>
    </row>
    <row r="1131" spans="1:41" hidden="1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41" hidden="1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41" hidden="1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41" hidden="1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41" hidden="1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41" hidden="1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41" hidden="1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41" x14ac:dyDescent="0.3">
      <c r="A1138" s="4">
        <v>28</v>
      </c>
      <c r="B1138" s="4" t="s">
        <v>35</v>
      </c>
      <c r="C1138" s="4" t="s">
        <v>36</v>
      </c>
      <c r="D1138" s="4">
        <v>329</v>
      </c>
      <c r="E1138" s="4" t="s">
        <v>45</v>
      </c>
      <c r="F1138" s="4">
        <v>24</v>
      </c>
      <c r="G1138" s="4">
        <v>3</v>
      </c>
      <c r="H1138" s="4" t="s">
        <v>51</v>
      </c>
      <c r="I1138" s="4">
        <v>1</v>
      </c>
      <c r="J1138" s="4">
        <v>1604</v>
      </c>
      <c r="K1138" s="4">
        <v>3</v>
      </c>
      <c r="L1138" s="4" t="s">
        <v>46</v>
      </c>
      <c r="M1138" s="4">
        <v>51</v>
      </c>
      <c r="N1138" s="4">
        <v>3</v>
      </c>
      <c r="O1138" s="4">
        <v>1</v>
      </c>
      <c r="P1138" s="4" t="s">
        <v>50</v>
      </c>
      <c r="Q1138" s="4">
        <v>2</v>
      </c>
      <c r="R1138" s="4" t="s">
        <v>48</v>
      </c>
      <c r="S1138" s="4">
        <v>2408</v>
      </c>
      <c r="T1138" s="4">
        <v>7324</v>
      </c>
      <c r="U1138" s="4">
        <v>1</v>
      </c>
      <c r="V1138" s="4" t="s">
        <v>42</v>
      </c>
      <c r="W1138" s="4" t="s">
        <v>35</v>
      </c>
      <c r="X1138" s="4">
        <v>17</v>
      </c>
      <c r="Y1138" s="4">
        <v>3</v>
      </c>
      <c r="Z1138" s="4">
        <v>3</v>
      </c>
      <c r="AA1138" s="4">
        <v>80</v>
      </c>
      <c r="AB1138" s="4">
        <v>3</v>
      </c>
      <c r="AC1138" s="4">
        <v>1</v>
      </c>
      <c r="AD1138" s="4">
        <v>3</v>
      </c>
      <c r="AE1138" s="4">
        <v>3</v>
      </c>
      <c r="AF1138" s="4">
        <v>1</v>
      </c>
      <c r="AG1138" s="4">
        <v>1</v>
      </c>
      <c r="AH1138" s="4">
        <v>0</v>
      </c>
      <c r="AI1138" s="4">
        <v>0</v>
      </c>
      <c r="AJ1138" s="4"/>
      <c r="AK1138" s="4"/>
      <c r="AL1138" s="4"/>
      <c r="AM1138" s="4"/>
      <c r="AN1138" s="4"/>
      <c r="AO1138" s="4"/>
    </row>
    <row r="1139" spans="1:41" x14ac:dyDescent="0.3">
      <c r="A1139" s="4">
        <v>22</v>
      </c>
      <c r="B1139" s="4" t="s">
        <v>43</v>
      </c>
      <c r="C1139" s="4" t="s">
        <v>55</v>
      </c>
      <c r="D1139" s="4">
        <v>457</v>
      </c>
      <c r="E1139" s="4" t="s">
        <v>45</v>
      </c>
      <c r="F1139" s="4">
        <v>26</v>
      </c>
      <c r="G1139" s="4">
        <v>2</v>
      </c>
      <c r="H1139" s="4" t="s">
        <v>49</v>
      </c>
      <c r="I1139" s="4">
        <v>1</v>
      </c>
      <c r="J1139" s="4">
        <v>1605</v>
      </c>
      <c r="K1139" s="4">
        <v>2</v>
      </c>
      <c r="L1139" s="4" t="s">
        <v>39</v>
      </c>
      <c r="M1139" s="4">
        <v>85</v>
      </c>
      <c r="N1139" s="4">
        <v>2</v>
      </c>
      <c r="O1139" s="4">
        <v>1</v>
      </c>
      <c r="P1139" s="4" t="s">
        <v>47</v>
      </c>
      <c r="Q1139" s="4">
        <v>3</v>
      </c>
      <c r="R1139" s="4" t="s">
        <v>48</v>
      </c>
      <c r="S1139" s="4">
        <v>2814</v>
      </c>
      <c r="T1139" s="4">
        <v>10293</v>
      </c>
      <c r="U1139" s="4">
        <v>1</v>
      </c>
      <c r="V1139" s="4" t="s">
        <v>42</v>
      </c>
      <c r="W1139" s="4" t="s">
        <v>35</v>
      </c>
      <c r="X1139" s="4">
        <v>14</v>
      </c>
      <c r="Y1139" s="4">
        <v>3</v>
      </c>
      <c r="Z1139" s="4">
        <v>2</v>
      </c>
      <c r="AA1139" s="4">
        <v>80</v>
      </c>
      <c r="AB1139" s="4">
        <v>0</v>
      </c>
      <c r="AC1139" s="4">
        <v>4</v>
      </c>
      <c r="AD1139" s="4">
        <v>2</v>
      </c>
      <c r="AE1139" s="4">
        <v>2</v>
      </c>
      <c r="AF1139" s="4">
        <v>4</v>
      </c>
      <c r="AG1139" s="4">
        <v>2</v>
      </c>
      <c r="AH1139" s="4">
        <v>1</v>
      </c>
      <c r="AI1139" s="4">
        <v>3</v>
      </c>
      <c r="AJ1139" s="4"/>
      <c r="AK1139" s="4"/>
      <c r="AL1139" s="4"/>
      <c r="AM1139" s="4"/>
      <c r="AN1139" s="4"/>
      <c r="AO1139" s="4"/>
    </row>
    <row r="1140" spans="1:41" x14ac:dyDescent="0.3">
      <c r="A1140" s="4">
        <v>50</v>
      </c>
      <c r="B1140" s="4" t="s">
        <v>43</v>
      </c>
      <c r="C1140" s="4" t="s">
        <v>44</v>
      </c>
      <c r="D1140" s="4">
        <v>1234</v>
      </c>
      <c r="E1140" s="4" t="s">
        <v>45</v>
      </c>
      <c r="F1140" s="4">
        <v>20</v>
      </c>
      <c r="G1140" s="4">
        <v>5</v>
      </c>
      <c r="H1140" s="4" t="s">
        <v>51</v>
      </c>
      <c r="I1140" s="4">
        <v>1</v>
      </c>
      <c r="J1140" s="4">
        <v>1606</v>
      </c>
      <c r="K1140" s="4">
        <v>2</v>
      </c>
      <c r="L1140" s="4" t="s">
        <v>46</v>
      </c>
      <c r="M1140" s="4">
        <v>41</v>
      </c>
      <c r="N1140" s="4">
        <v>3</v>
      </c>
      <c r="O1140" s="4">
        <v>4</v>
      </c>
      <c r="P1140" s="4" t="s">
        <v>54</v>
      </c>
      <c r="Q1140" s="4">
        <v>3</v>
      </c>
      <c r="R1140" s="4" t="s">
        <v>48</v>
      </c>
      <c r="S1140" s="4">
        <v>11245</v>
      </c>
      <c r="T1140" s="4">
        <v>20689</v>
      </c>
      <c r="U1140" s="4">
        <v>2</v>
      </c>
      <c r="V1140" s="4" t="s">
        <v>42</v>
      </c>
      <c r="W1140" s="4" t="s">
        <v>35</v>
      </c>
      <c r="X1140" s="4">
        <v>15</v>
      </c>
      <c r="Y1140" s="4">
        <v>3</v>
      </c>
      <c r="Z1140" s="4">
        <v>3</v>
      </c>
      <c r="AA1140" s="4">
        <v>80</v>
      </c>
      <c r="AB1140" s="4">
        <v>1</v>
      </c>
      <c r="AC1140" s="4">
        <v>32</v>
      </c>
      <c r="AD1140" s="4">
        <v>3</v>
      </c>
      <c r="AE1140" s="4">
        <v>3</v>
      </c>
      <c r="AF1140" s="4">
        <v>30</v>
      </c>
      <c r="AG1140" s="4">
        <v>8</v>
      </c>
      <c r="AH1140" s="4">
        <v>12</v>
      </c>
      <c r="AI1140" s="4">
        <v>13</v>
      </c>
      <c r="AJ1140" s="4"/>
      <c r="AK1140" s="4"/>
      <c r="AL1140" s="4"/>
      <c r="AM1140" s="4"/>
      <c r="AN1140" s="4"/>
      <c r="AO1140" s="4"/>
    </row>
    <row r="1141" spans="1:41" hidden="1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41" x14ac:dyDescent="0.3">
      <c r="A1142" s="4">
        <v>44</v>
      </c>
      <c r="B1142" s="4" t="s">
        <v>43</v>
      </c>
      <c r="C1142" s="4" t="s">
        <v>36</v>
      </c>
      <c r="D1142" s="4">
        <v>1313</v>
      </c>
      <c r="E1142" s="4" t="s">
        <v>45</v>
      </c>
      <c r="F1142" s="4">
        <v>7</v>
      </c>
      <c r="G1142" s="4">
        <v>3</v>
      </c>
      <c r="H1142" s="4" t="s">
        <v>51</v>
      </c>
      <c r="I1142" s="4">
        <v>1</v>
      </c>
      <c r="J1142" s="4">
        <v>1608</v>
      </c>
      <c r="K1142" s="4">
        <v>2</v>
      </c>
      <c r="L1142" s="4" t="s">
        <v>39</v>
      </c>
      <c r="M1142" s="4">
        <v>31</v>
      </c>
      <c r="N1142" s="4">
        <v>3</v>
      </c>
      <c r="O1142" s="4">
        <v>5</v>
      </c>
      <c r="P1142" s="4" t="s">
        <v>58</v>
      </c>
      <c r="Q1142" s="4">
        <v>4</v>
      </c>
      <c r="R1142" s="4" t="s">
        <v>52</v>
      </c>
      <c r="S1142" s="4">
        <v>19049</v>
      </c>
      <c r="T1142" s="4">
        <v>3549</v>
      </c>
      <c r="U1142" s="4">
        <v>0</v>
      </c>
      <c r="V1142" s="4" t="s">
        <v>42</v>
      </c>
      <c r="W1142" s="4" t="s">
        <v>35</v>
      </c>
      <c r="X1142" s="4">
        <v>14</v>
      </c>
      <c r="Y1142" s="4">
        <v>3</v>
      </c>
      <c r="Z1142" s="4">
        <v>4</v>
      </c>
      <c r="AA1142" s="4">
        <v>80</v>
      </c>
      <c r="AB1142" s="4">
        <v>1</v>
      </c>
      <c r="AC1142" s="4">
        <v>23</v>
      </c>
      <c r="AD1142" s="4">
        <v>4</v>
      </c>
      <c r="AE1142" s="4">
        <v>2</v>
      </c>
      <c r="AF1142" s="4">
        <v>22</v>
      </c>
      <c r="AG1142" s="4">
        <v>7</v>
      </c>
      <c r="AH1142" s="4">
        <v>1</v>
      </c>
      <c r="AI1142" s="4">
        <v>10</v>
      </c>
      <c r="AJ1142" s="4"/>
      <c r="AK1142" s="4"/>
      <c r="AL1142" s="4"/>
      <c r="AM1142" s="4"/>
      <c r="AN1142" s="4"/>
      <c r="AO1142" s="4"/>
    </row>
    <row r="1143" spans="1:41" hidden="1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41" x14ac:dyDescent="0.3">
      <c r="A1144" s="4">
        <v>45</v>
      </c>
      <c r="B1144" s="4" t="s">
        <v>43</v>
      </c>
      <c r="C1144" s="4" t="s">
        <v>36</v>
      </c>
      <c r="D1144" s="4">
        <v>1015</v>
      </c>
      <c r="E1144" s="4" t="s">
        <v>45</v>
      </c>
      <c r="F1144" s="4">
        <v>5</v>
      </c>
      <c r="G1144" s="4">
        <v>5</v>
      </c>
      <c r="H1144" s="4" t="s">
        <v>51</v>
      </c>
      <c r="I1144" s="4">
        <v>1</v>
      </c>
      <c r="J1144" s="4">
        <v>1611</v>
      </c>
      <c r="K1144" s="4">
        <v>3</v>
      </c>
      <c r="L1144" s="4" t="s">
        <v>39</v>
      </c>
      <c r="M1144" s="4">
        <v>50</v>
      </c>
      <c r="N1144" s="4">
        <v>1</v>
      </c>
      <c r="O1144" s="4">
        <v>2</v>
      </c>
      <c r="P1144" s="4" t="s">
        <v>50</v>
      </c>
      <c r="Q1144" s="4">
        <v>1</v>
      </c>
      <c r="R1144" s="4" t="s">
        <v>41</v>
      </c>
      <c r="S1144" s="4">
        <v>5769</v>
      </c>
      <c r="T1144" s="4">
        <v>23447</v>
      </c>
      <c r="U1144" s="4">
        <v>1</v>
      </c>
      <c r="V1144" s="4" t="s">
        <v>42</v>
      </c>
      <c r="W1144" s="4" t="s">
        <v>35</v>
      </c>
      <c r="X1144" s="4">
        <v>14</v>
      </c>
      <c r="Y1144" s="4">
        <v>3</v>
      </c>
      <c r="Z1144" s="4">
        <v>1</v>
      </c>
      <c r="AA1144" s="4">
        <v>80</v>
      </c>
      <c r="AB1144" s="4">
        <v>0</v>
      </c>
      <c r="AC1144" s="4">
        <v>10</v>
      </c>
      <c r="AD1144" s="4">
        <v>3</v>
      </c>
      <c r="AE1144" s="4">
        <v>3</v>
      </c>
      <c r="AF1144" s="4">
        <v>10</v>
      </c>
      <c r="AG1144" s="4">
        <v>7</v>
      </c>
      <c r="AH1144" s="4">
        <v>1</v>
      </c>
      <c r="AI1144" s="4">
        <v>4</v>
      </c>
      <c r="AJ1144" s="4"/>
      <c r="AK1144" s="4"/>
      <c r="AL1144" s="4"/>
      <c r="AM1144" s="4"/>
      <c r="AN1144" s="4"/>
      <c r="AO1144" s="4"/>
    </row>
    <row r="1145" spans="1:41" hidden="1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41" hidden="1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41" x14ac:dyDescent="0.3">
      <c r="A1147" s="4">
        <v>36</v>
      </c>
      <c r="B1147" s="4" t="s">
        <v>43</v>
      </c>
      <c r="C1147" s="4" t="s">
        <v>36</v>
      </c>
      <c r="D1147" s="4">
        <v>559</v>
      </c>
      <c r="E1147" s="4" t="s">
        <v>45</v>
      </c>
      <c r="F1147" s="4">
        <v>12</v>
      </c>
      <c r="G1147" s="4">
        <v>4</v>
      </c>
      <c r="H1147" s="4" t="s">
        <v>38</v>
      </c>
      <c r="I1147" s="4">
        <v>1</v>
      </c>
      <c r="J1147" s="4">
        <v>1614</v>
      </c>
      <c r="K1147" s="4">
        <v>3</v>
      </c>
      <c r="L1147" s="4" t="s">
        <v>39</v>
      </c>
      <c r="M1147" s="4">
        <v>76</v>
      </c>
      <c r="N1147" s="4">
        <v>3</v>
      </c>
      <c r="O1147" s="4">
        <v>2</v>
      </c>
      <c r="P1147" s="4" t="s">
        <v>53</v>
      </c>
      <c r="Q1147" s="4">
        <v>3</v>
      </c>
      <c r="R1147" s="4" t="s">
        <v>48</v>
      </c>
      <c r="S1147" s="4">
        <v>4663</v>
      </c>
      <c r="T1147" s="4">
        <v>12421</v>
      </c>
      <c r="U1147" s="4">
        <v>9</v>
      </c>
      <c r="V1147" s="4" t="s">
        <v>42</v>
      </c>
      <c r="W1147" s="4" t="s">
        <v>35</v>
      </c>
      <c r="X1147" s="4">
        <v>12</v>
      </c>
      <c r="Y1147" s="4">
        <v>3</v>
      </c>
      <c r="Z1147" s="4">
        <v>2</v>
      </c>
      <c r="AA1147" s="4">
        <v>80</v>
      </c>
      <c r="AB1147" s="4">
        <v>2</v>
      </c>
      <c r="AC1147" s="4">
        <v>7</v>
      </c>
      <c r="AD1147" s="4">
        <v>2</v>
      </c>
      <c r="AE1147" s="4">
        <v>3</v>
      </c>
      <c r="AF1147" s="4">
        <v>3</v>
      </c>
      <c r="AG1147" s="4">
        <v>2</v>
      </c>
      <c r="AH1147" s="4">
        <v>1</v>
      </c>
      <c r="AI1147" s="4">
        <v>1</v>
      </c>
      <c r="AJ1147" s="4"/>
      <c r="AK1147" s="4"/>
      <c r="AL1147" s="4"/>
      <c r="AM1147" s="4"/>
      <c r="AN1147" s="4"/>
      <c r="AO1147" s="4"/>
    </row>
    <row r="1148" spans="1:41" hidden="1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41" hidden="1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41" hidden="1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41" hidden="1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41" hidden="1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41" hidden="1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41" hidden="1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41" x14ac:dyDescent="0.3">
      <c r="A1155" s="4">
        <v>18</v>
      </c>
      <c r="B1155" s="4" t="s">
        <v>35</v>
      </c>
      <c r="C1155" s="4" t="s">
        <v>44</v>
      </c>
      <c r="D1155" s="4">
        <v>544</v>
      </c>
      <c r="E1155" s="4" t="s">
        <v>37</v>
      </c>
      <c r="F1155" s="4">
        <v>3</v>
      </c>
      <c r="G1155" s="4">
        <v>2</v>
      </c>
      <c r="H1155" s="4" t="s">
        <v>51</v>
      </c>
      <c r="I1155" s="4">
        <v>1</v>
      </c>
      <c r="J1155" s="4">
        <v>1624</v>
      </c>
      <c r="K1155" s="4">
        <v>2</v>
      </c>
      <c r="L1155" s="4" t="s">
        <v>39</v>
      </c>
      <c r="M1155" s="4">
        <v>70</v>
      </c>
      <c r="N1155" s="4">
        <v>3</v>
      </c>
      <c r="O1155" s="4">
        <v>1</v>
      </c>
      <c r="P1155" s="4" t="s">
        <v>57</v>
      </c>
      <c r="Q1155" s="4">
        <v>4</v>
      </c>
      <c r="R1155" s="4" t="s">
        <v>41</v>
      </c>
      <c r="S1155" s="4">
        <v>1569</v>
      </c>
      <c r="T1155" s="4">
        <v>18420</v>
      </c>
      <c r="U1155" s="4">
        <v>1</v>
      </c>
      <c r="V1155" s="4" t="s">
        <v>42</v>
      </c>
      <c r="W1155" s="4" t="s">
        <v>35</v>
      </c>
      <c r="X1155" s="4">
        <v>12</v>
      </c>
      <c r="Y1155" s="4">
        <v>3</v>
      </c>
      <c r="Z1155" s="4">
        <v>3</v>
      </c>
      <c r="AA1155" s="4">
        <v>80</v>
      </c>
      <c r="AB1155" s="4">
        <v>0</v>
      </c>
      <c r="AC1155" s="4">
        <v>0</v>
      </c>
      <c r="AD1155" s="4">
        <v>2</v>
      </c>
      <c r="AE1155" s="4">
        <v>4</v>
      </c>
      <c r="AF1155" s="4">
        <v>0</v>
      </c>
      <c r="AG1155" s="4">
        <v>0</v>
      </c>
      <c r="AH1155" s="4">
        <v>0</v>
      </c>
      <c r="AI1155" s="4">
        <v>0</v>
      </c>
      <c r="AJ1155" s="4"/>
      <c r="AK1155" s="4"/>
      <c r="AL1155" s="4"/>
      <c r="AM1155" s="4"/>
      <c r="AN1155" s="4"/>
      <c r="AO1155" s="4"/>
    </row>
    <row r="1156" spans="1:41" hidden="1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41" hidden="1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41" hidden="1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41" hidden="1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41" hidden="1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41" hidden="1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41" hidden="1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41" x14ac:dyDescent="0.3">
      <c r="A1163" s="4">
        <v>38</v>
      </c>
      <c r="B1163" s="4" t="s">
        <v>43</v>
      </c>
      <c r="C1163" s="4" t="s">
        <v>36</v>
      </c>
      <c r="D1163" s="4">
        <v>397</v>
      </c>
      <c r="E1163" s="4" t="s">
        <v>45</v>
      </c>
      <c r="F1163" s="4">
        <v>2</v>
      </c>
      <c r="G1163" s="4">
        <v>2</v>
      </c>
      <c r="H1163" s="4" t="s">
        <v>51</v>
      </c>
      <c r="I1163" s="4">
        <v>1</v>
      </c>
      <c r="J1163" s="4">
        <v>1638</v>
      </c>
      <c r="K1163" s="4">
        <v>4</v>
      </c>
      <c r="L1163" s="4" t="s">
        <v>39</v>
      </c>
      <c r="M1163" s="4">
        <v>54</v>
      </c>
      <c r="N1163" s="4">
        <v>2</v>
      </c>
      <c r="O1163" s="4">
        <v>3</v>
      </c>
      <c r="P1163" s="4" t="s">
        <v>53</v>
      </c>
      <c r="Q1163" s="4">
        <v>3</v>
      </c>
      <c r="R1163" s="4" t="s">
        <v>48</v>
      </c>
      <c r="S1163" s="4">
        <v>7756</v>
      </c>
      <c r="T1163" s="4">
        <v>14199</v>
      </c>
      <c r="U1163" s="4">
        <v>3</v>
      </c>
      <c r="V1163" s="4" t="s">
        <v>42</v>
      </c>
      <c r="W1163" s="4" t="s">
        <v>35</v>
      </c>
      <c r="X1163" s="4">
        <v>19</v>
      </c>
      <c r="Y1163" s="4">
        <v>3</v>
      </c>
      <c r="Z1163" s="4">
        <v>4</v>
      </c>
      <c r="AA1163" s="4">
        <v>80</v>
      </c>
      <c r="AB1163" s="4">
        <v>1</v>
      </c>
      <c r="AC1163" s="4">
        <v>10</v>
      </c>
      <c r="AD1163" s="4">
        <v>6</v>
      </c>
      <c r="AE1163" s="4">
        <v>4</v>
      </c>
      <c r="AF1163" s="4">
        <v>5</v>
      </c>
      <c r="AG1163" s="4">
        <v>4</v>
      </c>
      <c r="AH1163" s="4">
        <v>0</v>
      </c>
      <c r="AI1163" s="4">
        <v>2</v>
      </c>
      <c r="AJ1163" s="4"/>
      <c r="AK1163" s="4"/>
      <c r="AL1163" s="4"/>
      <c r="AM1163" s="4"/>
      <c r="AN1163" s="4"/>
      <c r="AO1163" s="4"/>
    </row>
    <row r="1164" spans="1:41" hidden="1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41" hidden="1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41" x14ac:dyDescent="0.3">
      <c r="A1166" s="4">
        <v>40</v>
      </c>
      <c r="B1166" s="4" t="s">
        <v>43</v>
      </c>
      <c r="C1166" s="4" t="s">
        <v>36</v>
      </c>
      <c r="D1166" s="4">
        <v>448</v>
      </c>
      <c r="E1166" s="4" t="s">
        <v>45</v>
      </c>
      <c r="F1166" s="4">
        <v>16</v>
      </c>
      <c r="G1166" s="4">
        <v>3</v>
      </c>
      <c r="H1166" s="4" t="s">
        <v>38</v>
      </c>
      <c r="I1166" s="4">
        <v>1</v>
      </c>
      <c r="J1166" s="4">
        <v>1641</v>
      </c>
      <c r="K1166" s="4">
        <v>3</v>
      </c>
      <c r="L1166" s="4" t="s">
        <v>39</v>
      </c>
      <c r="M1166" s="4">
        <v>84</v>
      </c>
      <c r="N1166" s="4">
        <v>3</v>
      </c>
      <c r="O1166" s="4">
        <v>3</v>
      </c>
      <c r="P1166" s="4" t="s">
        <v>53</v>
      </c>
      <c r="Q1166" s="4">
        <v>4</v>
      </c>
      <c r="R1166" s="4" t="s">
        <v>41</v>
      </c>
      <c r="S1166" s="4">
        <v>7945</v>
      </c>
      <c r="T1166" s="4">
        <v>19948</v>
      </c>
      <c r="U1166" s="4">
        <v>6</v>
      </c>
      <c r="V1166" s="4" t="s">
        <v>42</v>
      </c>
      <c r="W1166" s="4" t="s">
        <v>35</v>
      </c>
      <c r="X1166" s="4">
        <v>15</v>
      </c>
      <c r="Y1166" s="4">
        <v>3</v>
      </c>
      <c r="Z1166" s="4">
        <v>4</v>
      </c>
      <c r="AA1166" s="4">
        <v>80</v>
      </c>
      <c r="AB1166" s="4">
        <v>0</v>
      </c>
      <c r="AC1166" s="4">
        <v>18</v>
      </c>
      <c r="AD1166" s="4">
        <v>2</v>
      </c>
      <c r="AE1166" s="4">
        <v>2</v>
      </c>
      <c r="AF1166" s="4">
        <v>4</v>
      </c>
      <c r="AG1166" s="4">
        <v>2</v>
      </c>
      <c r="AH1166" s="4">
        <v>3</v>
      </c>
      <c r="AI1166" s="4">
        <v>3</v>
      </c>
      <c r="AJ1166" s="4"/>
      <c r="AK1166" s="4"/>
      <c r="AL1166" s="4"/>
      <c r="AM1166" s="4"/>
      <c r="AN1166" s="4"/>
      <c r="AO1166" s="4"/>
    </row>
    <row r="1167" spans="1:41" x14ac:dyDescent="0.3">
      <c r="A1167" s="4">
        <v>44</v>
      </c>
      <c r="B1167" s="4" t="s">
        <v>43</v>
      </c>
      <c r="C1167" s="4" t="s">
        <v>44</v>
      </c>
      <c r="D1167" s="4">
        <v>602</v>
      </c>
      <c r="E1167" s="4" t="s">
        <v>61</v>
      </c>
      <c r="F1167" s="4">
        <v>1</v>
      </c>
      <c r="G1167" s="4">
        <v>5</v>
      </c>
      <c r="H1167" s="4" t="s">
        <v>61</v>
      </c>
      <c r="I1167" s="4">
        <v>1</v>
      </c>
      <c r="J1167" s="4">
        <v>1642</v>
      </c>
      <c r="K1167" s="4">
        <v>1</v>
      </c>
      <c r="L1167" s="4" t="s">
        <v>46</v>
      </c>
      <c r="M1167" s="4">
        <v>37</v>
      </c>
      <c r="N1167" s="4">
        <v>3</v>
      </c>
      <c r="O1167" s="4">
        <v>2</v>
      </c>
      <c r="P1167" s="4" t="s">
        <v>61</v>
      </c>
      <c r="Q1167" s="4">
        <v>4</v>
      </c>
      <c r="R1167" s="4" t="s">
        <v>48</v>
      </c>
      <c r="S1167" s="4">
        <v>5743</v>
      </c>
      <c r="T1167" s="4">
        <v>10503</v>
      </c>
      <c r="U1167" s="4">
        <v>4</v>
      </c>
      <c r="V1167" s="4" t="s">
        <v>42</v>
      </c>
      <c r="W1167" s="4" t="s">
        <v>35</v>
      </c>
      <c r="X1167" s="4">
        <v>11</v>
      </c>
      <c r="Y1167" s="4">
        <v>3</v>
      </c>
      <c r="Z1167" s="4">
        <v>3</v>
      </c>
      <c r="AA1167" s="4">
        <v>80</v>
      </c>
      <c r="AB1167" s="4">
        <v>0</v>
      </c>
      <c r="AC1167" s="4">
        <v>14</v>
      </c>
      <c r="AD1167" s="4">
        <v>3</v>
      </c>
      <c r="AE1167" s="4">
        <v>3</v>
      </c>
      <c r="AF1167" s="4">
        <v>10</v>
      </c>
      <c r="AG1167" s="4">
        <v>7</v>
      </c>
      <c r="AH1167" s="4">
        <v>0</v>
      </c>
      <c r="AI1167" s="4">
        <v>2</v>
      </c>
      <c r="AJ1167" s="4"/>
      <c r="AK1167" s="4"/>
      <c r="AL1167" s="4"/>
      <c r="AM1167" s="4"/>
      <c r="AN1167" s="4"/>
      <c r="AO1167" s="4"/>
    </row>
    <row r="1168" spans="1:41" hidden="1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41" x14ac:dyDescent="0.3">
      <c r="A1169" s="4">
        <v>35</v>
      </c>
      <c r="B1169" s="4" t="s">
        <v>35</v>
      </c>
      <c r="C1169" s="4" t="s">
        <v>36</v>
      </c>
      <c r="D1169" s="4">
        <v>763</v>
      </c>
      <c r="E1169" s="4" t="s">
        <v>37</v>
      </c>
      <c r="F1169" s="4">
        <v>15</v>
      </c>
      <c r="G1169" s="4">
        <v>2</v>
      </c>
      <c r="H1169" s="4" t="s">
        <v>51</v>
      </c>
      <c r="I1169" s="4">
        <v>1</v>
      </c>
      <c r="J1169" s="4">
        <v>1645</v>
      </c>
      <c r="K1169" s="4">
        <v>1</v>
      </c>
      <c r="L1169" s="4" t="s">
        <v>46</v>
      </c>
      <c r="M1169" s="4">
        <v>59</v>
      </c>
      <c r="N1169" s="4">
        <v>1</v>
      </c>
      <c r="O1169" s="4">
        <v>2</v>
      </c>
      <c r="P1169" s="4" t="s">
        <v>40</v>
      </c>
      <c r="Q1169" s="4">
        <v>4</v>
      </c>
      <c r="R1169" s="4" t="s">
        <v>52</v>
      </c>
      <c r="S1169" s="4">
        <v>5440</v>
      </c>
      <c r="T1169" s="4">
        <v>22098</v>
      </c>
      <c r="U1169" s="4">
        <v>6</v>
      </c>
      <c r="V1169" s="4" t="s">
        <v>42</v>
      </c>
      <c r="W1169" s="4" t="s">
        <v>35</v>
      </c>
      <c r="X1169" s="4">
        <v>14</v>
      </c>
      <c r="Y1169" s="4">
        <v>3</v>
      </c>
      <c r="Z1169" s="4">
        <v>4</v>
      </c>
      <c r="AA1169" s="4">
        <v>80</v>
      </c>
      <c r="AB1169" s="4">
        <v>2</v>
      </c>
      <c r="AC1169" s="4">
        <v>7</v>
      </c>
      <c r="AD1169" s="4">
        <v>2</v>
      </c>
      <c r="AE1169" s="4">
        <v>2</v>
      </c>
      <c r="AF1169" s="4">
        <v>2</v>
      </c>
      <c r="AG1169" s="4">
        <v>2</v>
      </c>
      <c r="AH1169" s="4">
        <v>2</v>
      </c>
      <c r="AI1169" s="4">
        <v>2</v>
      </c>
      <c r="AJ1169" s="4"/>
      <c r="AK1169" s="4"/>
      <c r="AL1169" s="4"/>
      <c r="AM1169" s="4"/>
      <c r="AN1169" s="4"/>
      <c r="AO1169" s="4"/>
    </row>
    <row r="1170" spans="1:41" x14ac:dyDescent="0.3">
      <c r="A1170" s="4">
        <v>24</v>
      </c>
      <c r="B1170" s="4" t="s">
        <v>43</v>
      </c>
      <c r="C1170" s="4" t="s">
        <v>44</v>
      </c>
      <c r="D1170" s="4">
        <v>567</v>
      </c>
      <c r="E1170" s="4" t="s">
        <v>45</v>
      </c>
      <c r="F1170" s="4">
        <v>2</v>
      </c>
      <c r="G1170" s="4">
        <v>1</v>
      </c>
      <c r="H1170" s="4" t="s">
        <v>60</v>
      </c>
      <c r="I1170" s="4">
        <v>1</v>
      </c>
      <c r="J1170" s="4">
        <v>1646</v>
      </c>
      <c r="K1170" s="4">
        <v>1</v>
      </c>
      <c r="L1170" s="4" t="s">
        <v>39</v>
      </c>
      <c r="M1170" s="4">
        <v>32</v>
      </c>
      <c r="N1170" s="4">
        <v>3</v>
      </c>
      <c r="O1170" s="4">
        <v>1</v>
      </c>
      <c r="P1170" s="4" t="s">
        <v>47</v>
      </c>
      <c r="Q1170" s="4">
        <v>4</v>
      </c>
      <c r="R1170" s="4" t="s">
        <v>41</v>
      </c>
      <c r="S1170" s="4">
        <v>3760</v>
      </c>
      <c r="T1170" s="4">
        <v>17218</v>
      </c>
      <c r="U1170" s="4">
        <v>1</v>
      </c>
      <c r="V1170" s="4" t="s">
        <v>42</v>
      </c>
      <c r="W1170" s="4" t="s">
        <v>35</v>
      </c>
      <c r="X1170" s="4">
        <v>13</v>
      </c>
      <c r="Y1170" s="4">
        <v>3</v>
      </c>
      <c r="Z1170" s="4">
        <v>3</v>
      </c>
      <c r="AA1170" s="4">
        <v>80</v>
      </c>
      <c r="AB1170" s="4">
        <v>0</v>
      </c>
      <c r="AC1170" s="4">
        <v>6</v>
      </c>
      <c r="AD1170" s="4">
        <v>2</v>
      </c>
      <c r="AE1170" s="4">
        <v>3</v>
      </c>
      <c r="AF1170" s="4">
        <v>6</v>
      </c>
      <c r="AG1170" s="4">
        <v>3</v>
      </c>
      <c r="AH1170" s="4">
        <v>1</v>
      </c>
      <c r="AI1170" s="4">
        <v>3</v>
      </c>
      <c r="AJ1170" s="4"/>
      <c r="AK1170" s="4"/>
      <c r="AL1170" s="4"/>
      <c r="AM1170" s="4"/>
      <c r="AN1170" s="4"/>
      <c r="AO1170" s="4"/>
    </row>
    <row r="1171" spans="1:41" hidden="1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41" hidden="1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41" x14ac:dyDescent="0.3">
      <c r="A1173" s="4">
        <v>40</v>
      </c>
      <c r="B1173" s="4" t="s">
        <v>35</v>
      </c>
      <c r="C1173" s="4" t="s">
        <v>36</v>
      </c>
      <c r="D1173" s="4">
        <v>1329</v>
      </c>
      <c r="E1173" s="4" t="s">
        <v>45</v>
      </c>
      <c r="F1173" s="4">
        <v>7</v>
      </c>
      <c r="G1173" s="4">
        <v>3</v>
      </c>
      <c r="H1173" s="4" t="s">
        <v>38</v>
      </c>
      <c r="I1173" s="4">
        <v>1</v>
      </c>
      <c r="J1173" s="4">
        <v>1649</v>
      </c>
      <c r="K1173" s="4">
        <v>1</v>
      </c>
      <c r="L1173" s="4" t="s">
        <v>46</v>
      </c>
      <c r="M1173" s="4">
        <v>73</v>
      </c>
      <c r="N1173" s="4">
        <v>3</v>
      </c>
      <c r="O1173" s="4">
        <v>1</v>
      </c>
      <c r="P1173" s="4" t="s">
        <v>50</v>
      </c>
      <c r="Q1173" s="4">
        <v>1</v>
      </c>
      <c r="R1173" s="4" t="s">
        <v>41</v>
      </c>
      <c r="S1173" s="4">
        <v>2166</v>
      </c>
      <c r="T1173" s="4">
        <v>3339</v>
      </c>
      <c r="U1173" s="4">
        <v>3</v>
      </c>
      <c r="V1173" s="4" t="s">
        <v>42</v>
      </c>
      <c r="W1173" s="4" t="s">
        <v>35</v>
      </c>
      <c r="X1173" s="4">
        <v>14</v>
      </c>
      <c r="Y1173" s="4">
        <v>3</v>
      </c>
      <c r="Z1173" s="4">
        <v>2</v>
      </c>
      <c r="AA1173" s="4">
        <v>80</v>
      </c>
      <c r="AB1173" s="4">
        <v>0</v>
      </c>
      <c r="AC1173" s="4">
        <v>10</v>
      </c>
      <c r="AD1173" s="4">
        <v>3</v>
      </c>
      <c r="AE1173" s="4">
        <v>1</v>
      </c>
      <c r="AF1173" s="4">
        <v>4</v>
      </c>
      <c r="AG1173" s="4">
        <v>2</v>
      </c>
      <c r="AH1173" s="4">
        <v>0</v>
      </c>
      <c r="AI1173" s="4">
        <v>3</v>
      </c>
      <c r="AJ1173" s="4"/>
      <c r="AK1173" s="4"/>
      <c r="AL1173" s="4"/>
      <c r="AM1173" s="4"/>
      <c r="AN1173" s="4"/>
      <c r="AO1173" s="4"/>
    </row>
    <row r="1174" spans="1:41" hidden="1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41" hidden="1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41" hidden="1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41" hidden="1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41" hidden="1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41" hidden="1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41" hidden="1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41" hidden="1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41" hidden="1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41" x14ac:dyDescent="0.3">
      <c r="A1183" s="4">
        <v>49</v>
      </c>
      <c r="B1183" s="4" t="s">
        <v>43</v>
      </c>
      <c r="C1183" s="4" t="s">
        <v>36</v>
      </c>
      <c r="D1183" s="4">
        <v>465</v>
      </c>
      <c r="E1183" s="4" t="s">
        <v>45</v>
      </c>
      <c r="F1183" s="4">
        <v>6</v>
      </c>
      <c r="G1183" s="4">
        <v>1</v>
      </c>
      <c r="H1183" s="4" t="s">
        <v>38</v>
      </c>
      <c r="I1183" s="4">
        <v>1</v>
      </c>
      <c r="J1183" s="4">
        <v>1661</v>
      </c>
      <c r="K1183" s="4">
        <v>3</v>
      </c>
      <c r="L1183" s="4" t="s">
        <v>39</v>
      </c>
      <c r="M1183" s="4">
        <v>41</v>
      </c>
      <c r="N1183" s="4">
        <v>2</v>
      </c>
      <c r="O1183" s="4">
        <v>4</v>
      </c>
      <c r="P1183" s="4" t="s">
        <v>54</v>
      </c>
      <c r="Q1183" s="4">
        <v>3</v>
      </c>
      <c r="R1183" s="4" t="s">
        <v>48</v>
      </c>
      <c r="S1183" s="4">
        <v>13966</v>
      </c>
      <c r="T1183" s="4">
        <v>11652</v>
      </c>
      <c r="U1183" s="4">
        <v>2</v>
      </c>
      <c r="V1183" s="4" t="s">
        <v>42</v>
      </c>
      <c r="W1183" s="4" t="s">
        <v>35</v>
      </c>
      <c r="X1183" s="4">
        <v>19</v>
      </c>
      <c r="Y1183" s="4">
        <v>3</v>
      </c>
      <c r="Z1183" s="4">
        <v>2</v>
      </c>
      <c r="AA1183" s="4">
        <v>80</v>
      </c>
      <c r="AB1183" s="4">
        <v>1</v>
      </c>
      <c r="AC1183" s="4">
        <v>30</v>
      </c>
      <c r="AD1183" s="4">
        <v>3</v>
      </c>
      <c r="AE1183" s="4">
        <v>3</v>
      </c>
      <c r="AF1183" s="4">
        <v>15</v>
      </c>
      <c r="AG1183" s="4">
        <v>11</v>
      </c>
      <c r="AH1183" s="4">
        <v>2</v>
      </c>
      <c r="AI1183" s="4">
        <v>12</v>
      </c>
      <c r="AJ1183" s="4"/>
      <c r="AK1183" s="4"/>
      <c r="AL1183" s="4"/>
      <c r="AM1183" s="4"/>
      <c r="AN1183" s="4"/>
      <c r="AO1183" s="4"/>
    </row>
    <row r="1184" spans="1:41" hidden="1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41" hidden="1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41" hidden="1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41" hidden="1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41" x14ac:dyDescent="0.3">
      <c r="A1188" s="4">
        <v>35</v>
      </c>
      <c r="B1188" s="4" t="s">
        <v>35</v>
      </c>
      <c r="C1188" s="4" t="s">
        <v>44</v>
      </c>
      <c r="D1188" s="4">
        <v>880</v>
      </c>
      <c r="E1188" s="4" t="s">
        <v>37</v>
      </c>
      <c r="F1188" s="4">
        <v>12</v>
      </c>
      <c r="G1188" s="4">
        <v>4</v>
      </c>
      <c r="H1188" s="4" t="s">
        <v>49</v>
      </c>
      <c r="I1188" s="4">
        <v>1</v>
      </c>
      <c r="J1188" s="4">
        <v>1667</v>
      </c>
      <c r="K1188" s="4">
        <v>4</v>
      </c>
      <c r="L1188" s="4" t="s">
        <v>46</v>
      </c>
      <c r="M1188" s="4">
        <v>36</v>
      </c>
      <c r="N1188" s="4">
        <v>3</v>
      </c>
      <c r="O1188" s="4">
        <v>2</v>
      </c>
      <c r="P1188" s="4" t="s">
        <v>40</v>
      </c>
      <c r="Q1188" s="4">
        <v>4</v>
      </c>
      <c r="R1188" s="4" t="s">
        <v>41</v>
      </c>
      <c r="S1188" s="4">
        <v>4581</v>
      </c>
      <c r="T1188" s="4">
        <v>10414</v>
      </c>
      <c r="U1188" s="4">
        <v>3</v>
      </c>
      <c r="V1188" s="4" t="s">
        <v>42</v>
      </c>
      <c r="W1188" s="4" t="s">
        <v>35</v>
      </c>
      <c r="X1188" s="4">
        <v>24</v>
      </c>
      <c r="Y1188" s="4">
        <v>4</v>
      </c>
      <c r="Z1188" s="4">
        <v>1</v>
      </c>
      <c r="AA1188" s="4">
        <v>80</v>
      </c>
      <c r="AB1188" s="4">
        <v>0</v>
      </c>
      <c r="AC1188" s="4">
        <v>13</v>
      </c>
      <c r="AD1188" s="4">
        <v>2</v>
      </c>
      <c r="AE1188" s="4">
        <v>4</v>
      </c>
      <c r="AF1188" s="4">
        <v>11</v>
      </c>
      <c r="AG1188" s="4">
        <v>9</v>
      </c>
      <c r="AH1188" s="4">
        <v>6</v>
      </c>
      <c r="AI1188" s="4">
        <v>7</v>
      </c>
      <c r="AJ1188" s="4"/>
      <c r="AK1188" s="4"/>
      <c r="AL1188" s="4"/>
      <c r="AM1188" s="4"/>
      <c r="AN1188" s="4"/>
      <c r="AO1188" s="4"/>
    </row>
    <row r="1189" spans="1:41" hidden="1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41" x14ac:dyDescent="0.3">
      <c r="A1190" s="4">
        <v>29</v>
      </c>
      <c r="B1190" s="4" t="s">
        <v>43</v>
      </c>
      <c r="C1190" s="4" t="s">
        <v>36</v>
      </c>
      <c r="D1190" s="4">
        <v>991</v>
      </c>
      <c r="E1190" s="4" t="s">
        <v>37</v>
      </c>
      <c r="F1190" s="4">
        <v>5</v>
      </c>
      <c r="G1190" s="4">
        <v>3</v>
      </c>
      <c r="H1190" s="4" t="s">
        <v>51</v>
      </c>
      <c r="I1190" s="4">
        <v>1</v>
      </c>
      <c r="J1190" s="4">
        <v>1669</v>
      </c>
      <c r="K1190" s="4">
        <v>1</v>
      </c>
      <c r="L1190" s="4" t="s">
        <v>46</v>
      </c>
      <c r="M1190" s="4">
        <v>43</v>
      </c>
      <c r="N1190" s="4">
        <v>2</v>
      </c>
      <c r="O1190" s="4">
        <v>2</v>
      </c>
      <c r="P1190" s="4" t="s">
        <v>40</v>
      </c>
      <c r="Q1190" s="4">
        <v>2</v>
      </c>
      <c r="R1190" s="4" t="s">
        <v>52</v>
      </c>
      <c r="S1190" s="4">
        <v>4187</v>
      </c>
      <c r="T1190" s="4">
        <v>3356</v>
      </c>
      <c r="U1190" s="4">
        <v>1</v>
      </c>
      <c r="V1190" s="4" t="s">
        <v>42</v>
      </c>
      <c r="W1190" s="4" t="s">
        <v>35</v>
      </c>
      <c r="X1190" s="4">
        <v>13</v>
      </c>
      <c r="Y1190" s="4">
        <v>3</v>
      </c>
      <c r="Z1190" s="4">
        <v>2</v>
      </c>
      <c r="AA1190" s="4">
        <v>80</v>
      </c>
      <c r="AB1190" s="4">
        <v>1</v>
      </c>
      <c r="AC1190" s="4">
        <v>10</v>
      </c>
      <c r="AD1190" s="4">
        <v>3</v>
      </c>
      <c r="AE1190" s="4">
        <v>2</v>
      </c>
      <c r="AF1190" s="4">
        <v>10</v>
      </c>
      <c r="AG1190" s="4">
        <v>0</v>
      </c>
      <c r="AH1190" s="4">
        <v>0</v>
      </c>
      <c r="AI1190" s="4">
        <v>9</v>
      </c>
      <c r="AJ1190" s="4"/>
      <c r="AK1190" s="4"/>
      <c r="AL1190" s="4"/>
      <c r="AM1190" s="4"/>
      <c r="AN1190" s="4"/>
      <c r="AO1190" s="4"/>
    </row>
    <row r="1191" spans="1:41" hidden="1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41" hidden="1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41" hidden="1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41" x14ac:dyDescent="0.3">
      <c r="A1194" s="4">
        <v>49</v>
      </c>
      <c r="B1194" s="4" t="s">
        <v>43</v>
      </c>
      <c r="C1194" s="4" t="s">
        <v>36</v>
      </c>
      <c r="D1194" s="4">
        <v>464</v>
      </c>
      <c r="E1194" s="4" t="s">
        <v>45</v>
      </c>
      <c r="F1194" s="4">
        <v>16</v>
      </c>
      <c r="G1194" s="4">
        <v>3</v>
      </c>
      <c r="H1194" s="4" t="s">
        <v>51</v>
      </c>
      <c r="I1194" s="4">
        <v>1</v>
      </c>
      <c r="J1194" s="4">
        <v>1674</v>
      </c>
      <c r="K1194" s="4">
        <v>4</v>
      </c>
      <c r="L1194" s="4" t="s">
        <v>39</v>
      </c>
      <c r="M1194" s="4">
        <v>74</v>
      </c>
      <c r="N1194" s="4">
        <v>3</v>
      </c>
      <c r="O1194" s="4">
        <v>1</v>
      </c>
      <c r="P1194" s="4" t="s">
        <v>50</v>
      </c>
      <c r="Q1194" s="4">
        <v>1</v>
      </c>
      <c r="R1194" s="4" t="s">
        <v>52</v>
      </c>
      <c r="S1194" s="4">
        <v>2587</v>
      </c>
      <c r="T1194" s="4">
        <v>24941</v>
      </c>
      <c r="U1194" s="4">
        <v>4</v>
      </c>
      <c r="V1194" s="4" t="s">
        <v>42</v>
      </c>
      <c r="W1194" s="4" t="s">
        <v>35</v>
      </c>
      <c r="X1194" s="4">
        <v>16</v>
      </c>
      <c r="Y1194" s="4">
        <v>3</v>
      </c>
      <c r="Z1194" s="4">
        <v>2</v>
      </c>
      <c r="AA1194" s="4">
        <v>80</v>
      </c>
      <c r="AB1194" s="4">
        <v>1</v>
      </c>
      <c r="AC1194" s="4">
        <v>17</v>
      </c>
      <c r="AD1194" s="4">
        <v>2</v>
      </c>
      <c r="AE1194" s="4">
        <v>2</v>
      </c>
      <c r="AF1194" s="4">
        <v>2</v>
      </c>
      <c r="AG1194" s="4">
        <v>2</v>
      </c>
      <c r="AH1194" s="4">
        <v>2</v>
      </c>
      <c r="AI1194" s="4">
        <v>2</v>
      </c>
      <c r="AJ1194" s="4"/>
      <c r="AK1194" s="4"/>
      <c r="AL1194" s="4"/>
      <c r="AM1194" s="4"/>
      <c r="AN1194" s="4"/>
      <c r="AO1194" s="4"/>
    </row>
    <row r="1195" spans="1:41" hidden="1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41" hidden="1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41" hidden="1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41" x14ac:dyDescent="0.3">
      <c r="A1198" s="4">
        <v>41</v>
      </c>
      <c r="B1198" s="4" t="s">
        <v>43</v>
      </c>
      <c r="C1198" s="4" t="s">
        <v>36</v>
      </c>
      <c r="D1198" s="4">
        <v>1206</v>
      </c>
      <c r="E1198" s="4" t="s">
        <v>37</v>
      </c>
      <c r="F1198" s="4">
        <v>23</v>
      </c>
      <c r="G1198" s="4">
        <v>2</v>
      </c>
      <c r="H1198" s="4" t="s">
        <v>38</v>
      </c>
      <c r="I1198" s="4">
        <v>1</v>
      </c>
      <c r="J1198" s="4">
        <v>1678</v>
      </c>
      <c r="K1198" s="4">
        <v>4</v>
      </c>
      <c r="L1198" s="4" t="s">
        <v>46</v>
      </c>
      <c r="M1198" s="4">
        <v>80</v>
      </c>
      <c r="N1198" s="4">
        <v>3</v>
      </c>
      <c r="O1198" s="4">
        <v>3</v>
      </c>
      <c r="P1198" s="4" t="s">
        <v>40</v>
      </c>
      <c r="Q1198" s="4">
        <v>3</v>
      </c>
      <c r="R1198" s="4" t="s">
        <v>41</v>
      </c>
      <c r="S1198" s="4">
        <v>7082</v>
      </c>
      <c r="T1198" s="4">
        <v>11591</v>
      </c>
      <c r="U1198" s="4">
        <v>3</v>
      </c>
      <c r="V1198" s="4" t="s">
        <v>42</v>
      </c>
      <c r="W1198" s="4" t="s">
        <v>35</v>
      </c>
      <c r="X1198" s="4">
        <v>16</v>
      </c>
      <c r="Y1198" s="4">
        <v>3</v>
      </c>
      <c r="Z1198" s="4">
        <v>4</v>
      </c>
      <c r="AA1198" s="4">
        <v>80</v>
      </c>
      <c r="AB1198" s="4">
        <v>0</v>
      </c>
      <c r="AC1198" s="4">
        <v>21</v>
      </c>
      <c r="AD1198" s="4">
        <v>2</v>
      </c>
      <c r="AE1198" s="4">
        <v>3</v>
      </c>
      <c r="AF1198" s="4">
        <v>2</v>
      </c>
      <c r="AG1198" s="4">
        <v>0</v>
      </c>
      <c r="AH1198" s="4">
        <v>0</v>
      </c>
      <c r="AI1198" s="4">
        <v>2</v>
      </c>
      <c r="AJ1198" s="4"/>
      <c r="AK1198" s="4"/>
      <c r="AL1198" s="4"/>
      <c r="AM1198" s="4"/>
      <c r="AN1198" s="4"/>
      <c r="AO1198" s="4"/>
    </row>
    <row r="1199" spans="1:41" hidden="1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41" x14ac:dyDescent="0.3">
      <c r="A1200" s="4">
        <v>33</v>
      </c>
      <c r="B1200" s="4" t="s">
        <v>43</v>
      </c>
      <c r="C1200" s="4" t="s">
        <v>55</v>
      </c>
      <c r="D1200" s="4">
        <v>530</v>
      </c>
      <c r="E1200" s="4" t="s">
        <v>37</v>
      </c>
      <c r="F1200" s="4">
        <v>16</v>
      </c>
      <c r="G1200" s="4">
        <v>3</v>
      </c>
      <c r="H1200" s="4" t="s">
        <v>38</v>
      </c>
      <c r="I1200" s="4">
        <v>1</v>
      </c>
      <c r="J1200" s="4">
        <v>1681</v>
      </c>
      <c r="K1200" s="4">
        <v>3</v>
      </c>
      <c r="L1200" s="4" t="s">
        <v>39</v>
      </c>
      <c r="M1200" s="4">
        <v>36</v>
      </c>
      <c r="N1200" s="4">
        <v>3</v>
      </c>
      <c r="O1200" s="4">
        <v>2</v>
      </c>
      <c r="P1200" s="4" t="s">
        <v>40</v>
      </c>
      <c r="Q1200" s="4">
        <v>4</v>
      </c>
      <c r="R1200" s="4" t="s">
        <v>52</v>
      </c>
      <c r="S1200" s="4">
        <v>5368</v>
      </c>
      <c r="T1200" s="4">
        <v>16130</v>
      </c>
      <c r="U1200" s="4">
        <v>1</v>
      </c>
      <c r="V1200" s="4" t="s">
        <v>42</v>
      </c>
      <c r="W1200" s="4" t="s">
        <v>35</v>
      </c>
      <c r="X1200" s="4">
        <v>25</v>
      </c>
      <c r="Y1200" s="4">
        <v>4</v>
      </c>
      <c r="Z1200" s="4">
        <v>3</v>
      </c>
      <c r="AA1200" s="4">
        <v>80</v>
      </c>
      <c r="AB1200" s="4">
        <v>1</v>
      </c>
      <c r="AC1200" s="4">
        <v>7</v>
      </c>
      <c r="AD1200" s="4">
        <v>2</v>
      </c>
      <c r="AE1200" s="4">
        <v>3</v>
      </c>
      <c r="AF1200" s="4">
        <v>6</v>
      </c>
      <c r="AG1200" s="4">
        <v>5</v>
      </c>
      <c r="AH1200" s="4">
        <v>1</v>
      </c>
      <c r="AI1200" s="4">
        <v>2</v>
      </c>
      <c r="AJ1200" s="4"/>
      <c r="AK1200" s="4"/>
      <c r="AL1200" s="4"/>
      <c r="AM1200" s="4"/>
      <c r="AN1200" s="4"/>
      <c r="AO1200" s="4"/>
    </row>
    <row r="1201" spans="1:41" hidden="1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41" x14ac:dyDescent="0.3">
      <c r="A1202" s="4">
        <v>44</v>
      </c>
      <c r="B1202" s="4" t="s">
        <v>43</v>
      </c>
      <c r="C1202" s="4" t="s">
        <v>36</v>
      </c>
      <c r="D1202" s="4">
        <v>528</v>
      </c>
      <c r="E1202" s="4" t="s">
        <v>61</v>
      </c>
      <c r="F1202" s="4">
        <v>1</v>
      </c>
      <c r="G1202" s="4">
        <v>3</v>
      </c>
      <c r="H1202" s="4" t="s">
        <v>38</v>
      </c>
      <c r="I1202" s="4">
        <v>1</v>
      </c>
      <c r="J1202" s="4">
        <v>1683</v>
      </c>
      <c r="K1202" s="4">
        <v>3</v>
      </c>
      <c r="L1202" s="4" t="s">
        <v>39</v>
      </c>
      <c r="M1202" s="4">
        <v>44</v>
      </c>
      <c r="N1202" s="4">
        <v>3</v>
      </c>
      <c r="O1202" s="4">
        <v>1</v>
      </c>
      <c r="P1202" s="4" t="s">
        <v>61</v>
      </c>
      <c r="Q1202" s="4">
        <v>4</v>
      </c>
      <c r="R1202" s="4" t="s">
        <v>52</v>
      </c>
      <c r="S1202" s="4">
        <v>3195</v>
      </c>
      <c r="T1202" s="4">
        <v>4167</v>
      </c>
      <c r="U1202" s="4">
        <v>4</v>
      </c>
      <c r="V1202" s="4" t="s">
        <v>42</v>
      </c>
      <c r="W1202" s="4" t="s">
        <v>35</v>
      </c>
      <c r="X1202" s="4">
        <v>18</v>
      </c>
      <c r="Y1202" s="4">
        <v>3</v>
      </c>
      <c r="Z1202" s="4">
        <v>1</v>
      </c>
      <c r="AA1202" s="4">
        <v>80</v>
      </c>
      <c r="AB1202" s="4">
        <v>3</v>
      </c>
      <c r="AC1202" s="4">
        <v>8</v>
      </c>
      <c r="AD1202" s="4">
        <v>2</v>
      </c>
      <c r="AE1202" s="4">
        <v>3</v>
      </c>
      <c r="AF1202" s="4">
        <v>2</v>
      </c>
      <c r="AG1202" s="4">
        <v>2</v>
      </c>
      <c r="AH1202" s="4">
        <v>2</v>
      </c>
      <c r="AI1202" s="4">
        <v>2</v>
      </c>
      <c r="AJ1202" s="4"/>
      <c r="AK1202" s="4"/>
      <c r="AL1202" s="4"/>
      <c r="AM1202" s="4"/>
      <c r="AN1202" s="4"/>
      <c r="AO1202" s="4"/>
    </row>
    <row r="1203" spans="1:41" x14ac:dyDescent="0.3">
      <c r="A1203" s="4">
        <v>23</v>
      </c>
      <c r="B1203" s="4" t="s">
        <v>35</v>
      </c>
      <c r="C1203" s="4" t="s">
        <v>36</v>
      </c>
      <c r="D1203" s="4">
        <v>1320</v>
      </c>
      <c r="E1203" s="4" t="s">
        <v>45</v>
      </c>
      <c r="F1203" s="4">
        <v>8</v>
      </c>
      <c r="G1203" s="4">
        <v>1</v>
      </c>
      <c r="H1203" s="4" t="s">
        <v>51</v>
      </c>
      <c r="I1203" s="4">
        <v>1</v>
      </c>
      <c r="J1203" s="4">
        <v>1684</v>
      </c>
      <c r="K1203" s="4">
        <v>4</v>
      </c>
      <c r="L1203" s="4" t="s">
        <v>46</v>
      </c>
      <c r="M1203" s="4">
        <v>93</v>
      </c>
      <c r="N1203" s="4">
        <v>2</v>
      </c>
      <c r="O1203" s="4">
        <v>1</v>
      </c>
      <c r="P1203" s="4" t="s">
        <v>50</v>
      </c>
      <c r="Q1203" s="4">
        <v>3</v>
      </c>
      <c r="R1203" s="4" t="s">
        <v>41</v>
      </c>
      <c r="S1203" s="4">
        <v>3989</v>
      </c>
      <c r="T1203" s="4">
        <v>20586</v>
      </c>
      <c r="U1203" s="4">
        <v>1</v>
      </c>
      <c r="V1203" s="4" t="s">
        <v>42</v>
      </c>
      <c r="W1203" s="4" t="s">
        <v>35</v>
      </c>
      <c r="X1203" s="4">
        <v>11</v>
      </c>
      <c r="Y1203" s="4">
        <v>3</v>
      </c>
      <c r="Z1203" s="4">
        <v>1</v>
      </c>
      <c r="AA1203" s="4">
        <v>80</v>
      </c>
      <c r="AB1203" s="4">
        <v>0</v>
      </c>
      <c r="AC1203" s="4">
        <v>5</v>
      </c>
      <c r="AD1203" s="4">
        <v>2</v>
      </c>
      <c r="AE1203" s="4">
        <v>3</v>
      </c>
      <c r="AF1203" s="4">
        <v>5</v>
      </c>
      <c r="AG1203" s="4">
        <v>4</v>
      </c>
      <c r="AH1203" s="4">
        <v>1</v>
      </c>
      <c r="AI1203" s="4">
        <v>2</v>
      </c>
      <c r="AJ1203" s="4"/>
      <c r="AK1203" s="4"/>
      <c r="AL1203" s="4"/>
      <c r="AM1203" s="4"/>
      <c r="AN1203" s="4"/>
      <c r="AO1203" s="4"/>
    </row>
    <row r="1204" spans="1:41" hidden="1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41" hidden="1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41" x14ac:dyDescent="0.3">
      <c r="A1206" s="4">
        <v>48</v>
      </c>
      <c r="B1206" s="4" t="s">
        <v>35</v>
      </c>
      <c r="C1206" s="4" t="s">
        <v>44</v>
      </c>
      <c r="D1206" s="4">
        <v>708</v>
      </c>
      <c r="E1206" s="4" t="s">
        <v>37</v>
      </c>
      <c r="F1206" s="4">
        <v>7</v>
      </c>
      <c r="G1206" s="4">
        <v>2</v>
      </c>
      <c r="H1206" s="4" t="s">
        <v>51</v>
      </c>
      <c r="I1206" s="4">
        <v>1</v>
      </c>
      <c r="J1206" s="4">
        <v>1691</v>
      </c>
      <c r="K1206" s="4">
        <v>4</v>
      </c>
      <c r="L1206" s="4" t="s">
        <v>39</v>
      </c>
      <c r="M1206" s="4">
        <v>95</v>
      </c>
      <c r="N1206" s="4">
        <v>3</v>
      </c>
      <c r="O1206" s="4">
        <v>1</v>
      </c>
      <c r="P1206" s="4" t="s">
        <v>57</v>
      </c>
      <c r="Q1206" s="4">
        <v>3</v>
      </c>
      <c r="R1206" s="4" t="s">
        <v>48</v>
      </c>
      <c r="S1206" s="4">
        <v>2655</v>
      </c>
      <c r="T1206" s="4">
        <v>11740</v>
      </c>
      <c r="U1206" s="4">
        <v>2</v>
      </c>
      <c r="V1206" s="4" t="s">
        <v>42</v>
      </c>
      <c r="W1206" s="4" t="s">
        <v>35</v>
      </c>
      <c r="X1206" s="4">
        <v>11</v>
      </c>
      <c r="Y1206" s="4">
        <v>3</v>
      </c>
      <c r="Z1206" s="4">
        <v>3</v>
      </c>
      <c r="AA1206" s="4">
        <v>80</v>
      </c>
      <c r="AB1206" s="4">
        <v>2</v>
      </c>
      <c r="AC1206" s="4">
        <v>19</v>
      </c>
      <c r="AD1206" s="4">
        <v>3</v>
      </c>
      <c r="AE1206" s="4">
        <v>3</v>
      </c>
      <c r="AF1206" s="4">
        <v>9</v>
      </c>
      <c r="AG1206" s="4">
        <v>7</v>
      </c>
      <c r="AH1206" s="4">
        <v>7</v>
      </c>
      <c r="AI1206" s="4">
        <v>7</v>
      </c>
      <c r="AJ1206" s="4"/>
      <c r="AK1206" s="4"/>
      <c r="AL1206" s="4"/>
      <c r="AM1206" s="4"/>
      <c r="AN1206" s="4"/>
      <c r="AO1206" s="4"/>
    </row>
    <row r="1207" spans="1:41" hidden="1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41" hidden="1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41" hidden="1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41" hidden="1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41" hidden="1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41" hidden="1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41" hidden="1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41" hidden="1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41" x14ac:dyDescent="0.3">
      <c r="A1215" s="4">
        <v>23</v>
      </c>
      <c r="B1215" s="4" t="s">
        <v>35</v>
      </c>
      <c r="C1215" s="4" t="s">
        <v>36</v>
      </c>
      <c r="D1215" s="4">
        <v>427</v>
      </c>
      <c r="E1215" s="4" t="s">
        <v>37</v>
      </c>
      <c r="F1215" s="4">
        <v>7</v>
      </c>
      <c r="G1215" s="4">
        <v>3</v>
      </c>
      <c r="H1215" s="4" t="s">
        <v>38</v>
      </c>
      <c r="I1215" s="4">
        <v>1</v>
      </c>
      <c r="J1215" s="4">
        <v>1702</v>
      </c>
      <c r="K1215" s="4">
        <v>3</v>
      </c>
      <c r="L1215" s="4" t="s">
        <v>46</v>
      </c>
      <c r="M1215" s="4">
        <v>99</v>
      </c>
      <c r="N1215" s="4">
        <v>3</v>
      </c>
      <c r="O1215" s="4">
        <v>1</v>
      </c>
      <c r="P1215" s="4" t="s">
        <v>57</v>
      </c>
      <c r="Q1215" s="4">
        <v>4</v>
      </c>
      <c r="R1215" s="4" t="s">
        <v>52</v>
      </c>
      <c r="S1215" s="4">
        <v>2275</v>
      </c>
      <c r="T1215" s="4">
        <v>25103</v>
      </c>
      <c r="U1215" s="4">
        <v>1</v>
      </c>
      <c r="V1215" s="4" t="s">
        <v>42</v>
      </c>
      <c r="W1215" s="4" t="s">
        <v>35</v>
      </c>
      <c r="X1215" s="4">
        <v>21</v>
      </c>
      <c r="Y1215" s="4">
        <v>4</v>
      </c>
      <c r="Z1215" s="4">
        <v>2</v>
      </c>
      <c r="AA1215" s="4">
        <v>80</v>
      </c>
      <c r="AB1215" s="4">
        <v>1</v>
      </c>
      <c r="AC1215" s="4">
        <v>3</v>
      </c>
      <c r="AD1215" s="4">
        <v>2</v>
      </c>
      <c r="AE1215" s="4">
        <v>3</v>
      </c>
      <c r="AF1215" s="4">
        <v>3</v>
      </c>
      <c r="AG1215" s="4">
        <v>2</v>
      </c>
      <c r="AH1215" s="4">
        <v>0</v>
      </c>
      <c r="AI1215" s="4">
        <v>2</v>
      </c>
      <c r="AJ1215" s="4"/>
      <c r="AK1215" s="4"/>
      <c r="AL1215" s="4"/>
      <c r="AM1215" s="4"/>
      <c r="AN1215" s="4"/>
      <c r="AO1215" s="4"/>
    </row>
    <row r="1216" spans="1:41" x14ac:dyDescent="0.3">
      <c r="A1216" s="4">
        <v>44</v>
      </c>
      <c r="B1216" s="4" t="s">
        <v>43</v>
      </c>
      <c r="C1216" s="4" t="s">
        <v>36</v>
      </c>
      <c r="D1216" s="4">
        <v>921</v>
      </c>
      <c r="E1216" s="4" t="s">
        <v>45</v>
      </c>
      <c r="F1216" s="4">
        <v>2</v>
      </c>
      <c r="G1216" s="4">
        <v>3</v>
      </c>
      <c r="H1216" s="4" t="s">
        <v>38</v>
      </c>
      <c r="I1216" s="4">
        <v>1</v>
      </c>
      <c r="J1216" s="4">
        <v>1703</v>
      </c>
      <c r="K1216" s="4">
        <v>3</v>
      </c>
      <c r="L1216" s="4" t="s">
        <v>39</v>
      </c>
      <c r="M1216" s="4">
        <v>96</v>
      </c>
      <c r="N1216" s="4">
        <v>4</v>
      </c>
      <c r="O1216" s="4">
        <v>3</v>
      </c>
      <c r="P1216" s="4" t="s">
        <v>54</v>
      </c>
      <c r="Q1216" s="4">
        <v>4</v>
      </c>
      <c r="R1216" s="4" t="s">
        <v>48</v>
      </c>
      <c r="S1216" s="4">
        <v>7879</v>
      </c>
      <c r="T1216" s="4">
        <v>14810</v>
      </c>
      <c r="U1216" s="4">
        <v>1</v>
      </c>
      <c r="V1216" s="4" t="s">
        <v>42</v>
      </c>
      <c r="W1216" s="4" t="s">
        <v>35</v>
      </c>
      <c r="X1216" s="4">
        <v>19</v>
      </c>
      <c r="Y1216" s="4">
        <v>3</v>
      </c>
      <c r="Z1216" s="4">
        <v>2</v>
      </c>
      <c r="AA1216" s="4">
        <v>80</v>
      </c>
      <c r="AB1216" s="4">
        <v>1</v>
      </c>
      <c r="AC1216" s="4">
        <v>9</v>
      </c>
      <c r="AD1216" s="4">
        <v>2</v>
      </c>
      <c r="AE1216" s="4">
        <v>3</v>
      </c>
      <c r="AF1216" s="4">
        <v>8</v>
      </c>
      <c r="AG1216" s="4">
        <v>7</v>
      </c>
      <c r="AH1216" s="4">
        <v>6</v>
      </c>
      <c r="AI1216" s="4">
        <v>7</v>
      </c>
      <c r="AJ1216" s="4"/>
      <c r="AK1216" s="4"/>
      <c r="AL1216" s="4"/>
      <c r="AM1216" s="4"/>
      <c r="AN1216" s="4"/>
      <c r="AO1216" s="4"/>
    </row>
    <row r="1217" spans="1:41" x14ac:dyDescent="0.3">
      <c r="A1217" s="4">
        <v>35</v>
      </c>
      <c r="B1217" s="4" t="s">
        <v>43</v>
      </c>
      <c r="C1217" s="4" t="s">
        <v>44</v>
      </c>
      <c r="D1217" s="4">
        <v>146</v>
      </c>
      <c r="E1217" s="4" t="s">
        <v>45</v>
      </c>
      <c r="F1217" s="4">
        <v>2</v>
      </c>
      <c r="G1217" s="4">
        <v>4</v>
      </c>
      <c r="H1217" s="4" t="s">
        <v>51</v>
      </c>
      <c r="I1217" s="4">
        <v>1</v>
      </c>
      <c r="J1217" s="4">
        <v>1704</v>
      </c>
      <c r="K1217" s="4">
        <v>1</v>
      </c>
      <c r="L1217" s="4" t="s">
        <v>46</v>
      </c>
      <c r="M1217" s="4">
        <v>79</v>
      </c>
      <c r="N1217" s="4">
        <v>2</v>
      </c>
      <c r="O1217" s="4">
        <v>1</v>
      </c>
      <c r="P1217" s="4" t="s">
        <v>47</v>
      </c>
      <c r="Q1217" s="4">
        <v>4</v>
      </c>
      <c r="R1217" s="4" t="s">
        <v>41</v>
      </c>
      <c r="S1217" s="4">
        <v>4930</v>
      </c>
      <c r="T1217" s="4">
        <v>13970</v>
      </c>
      <c r="U1217" s="4">
        <v>0</v>
      </c>
      <c r="V1217" s="4" t="s">
        <v>42</v>
      </c>
      <c r="W1217" s="4" t="s">
        <v>35</v>
      </c>
      <c r="X1217" s="4">
        <v>14</v>
      </c>
      <c r="Y1217" s="4">
        <v>3</v>
      </c>
      <c r="Z1217" s="4">
        <v>3</v>
      </c>
      <c r="AA1217" s="4">
        <v>80</v>
      </c>
      <c r="AB1217" s="4">
        <v>0</v>
      </c>
      <c r="AC1217" s="4">
        <v>6</v>
      </c>
      <c r="AD1217" s="4">
        <v>2</v>
      </c>
      <c r="AE1217" s="4">
        <v>4</v>
      </c>
      <c r="AF1217" s="4">
        <v>5</v>
      </c>
      <c r="AG1217" s="4">
        <v>4</v>
      </c>
      <c r="AH1217" s="4">
        <v>1</v>
      </c>
      <c r="AI1217" s="4">
        <v>4</v>
      </c>
      <c r="AJ1217" s="4"/>
      <c r="AK1217" s="4"/>
      <c r="AL1217" s="4"/>
      <c r="AM1217" s="4"/>
      <c r="AN1217" s="4"/>
      <c r="AO1217" s="4"/>
    </row>
    <row r="1218" spans="1:41" x14ac:dyDescent="0.3">
      <c r="A1218" s="4">
        <v>43</v>
      </c>
      <c r="B1218" s="4" t="s">
        <v>43</v>
      </c>
      <c r="C1218" s="4" t="s">
        <v>36</v>
      </c>
      <c r="D1218" s="4">
        <v>1179</v>
      </c>
      <c r="E1218" s="4" t="s">
        <v>37</v>
      </c>
      <c r="F1218" s="4">
        <v>2</v>
      </c>
      <c r="G1218" s="4">
        <v>3</v>
      </c>
      <c r="H1218" s="4" t="s">
        <v>51</v>
      </c>
      <c r="I1218" s="4">
        <v>1</v>
      </c>
      <c r="J1218" s="4">
        <v>1706</v>
      </c>
      <c r="K1218" s="4">
        <v>4</v>
      </c>
      <c r="L1218" s="4" t="s">
        <v>46</v>
      </c>
      <c r="M1218" s="4">
        <v>73</v>
      </c>
      <c r="N1218" s="4">
        <v>3</v>
      </c>
      <c r="O1218" s="4">
        <v>2</v>
      </c>
      <c r="P1218" s="4" t="s">
        <v>40</v>
      </c>
      <c r="Q1218" s="4">
        <v>4</v>
      </c>
      <c r="R1218" s="4" t="s">
        <v>48</v>
      </c>
      <c r="S1218" s="4">
        <v>7847</v>
      </c>
      <c r="T1218" s="4">
        <v>6069</v>
      </c>
      <c r="U1218" s="4">
        <v>1</v>
      </c>
      <c r="V1218" s="4" t="s">
        <v>42</v>
      </c>
      <c r="W1218" s="4" t="s">
        <v>35</v>
      </c>
      <c r="X1218" s="4">
        <v>17</v>
      </c>
      <c r="Y1218" s="4">
        <v>3</v>
      </c>
      <c r="Z1218" s="4">
        <v>1</v>
      </c>
      <c r="AA1218" s="4">
        <v>80</v>
      </c>
      <c r="AB1218" s="4">
        <v>1</v>
      </c>
      <c r="AC1218" s="4">
        <v>10</v>
      </c>
      <c r="AD1218" s="4">
        <v>3</v>
      </c>
      <c r="AE1218" s="4">
        <v>3</v>
      </c>
      <c r="AF1218" s="4">
        <v>10</v>
      </c>
      <c r="AG1218" s="4">
        <v>9</v>
      </c>
      <c r="AH1218" s="4">
        <v>8</v>
      </c>
      <c r="AI1218" s="4">
        <v>8</v>
      </c>
      <c r="AJ1218" s="4"/>
      <c r="AK1218" s="4"/>
      <c r="AL1218" s="4"/>
      <c r="AM1218" s="4"/>
      <c r="AN1218" s="4"/>
      <c r="AO1218" s="4"/>
    </row>
    <row r="1219" spans="1:41" hidden="1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41" hidden="1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41" hidden="1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41" hidden="1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41" hidden="1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41" hidden="1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41" hidden="1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41" hidden="1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41" hidden="1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41" hidden="1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41" hidden="1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41" hidden="1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41" x14ac:dyDescent="0.3">
      <c r="A1231" s="4">
        <v>40</v>
      </c>
      <c r="B1231" s="4" t="s">
        <v>43</v>
      </c>
      <c r="C1231" s="4" t="s">
        <v>36</v>
      </c>
      <c r="D1231" s="4">
        <v>369</v>
      </c>
      <c r="E1231" s="4" t="s">
        <v>45</v>
      </c>
      <c r="F1231" s="4">
        <v>8</v>
      </c>
      <c r="G1231" s="4">
        <v>2</v>
      </c>
      <c r="H1231" s="4" t="s">
        <v>38</v>
      </c>
      <c r="I1231" s="4">
        <v>1</v>
      </c>
      <c r="J1231" s="4">
        <v>1724</v>
      </c>
      <c r="K1231" s="4">
        <v>2</v>
      </c>
      <c r="L1231" s="4" t="s">
        <v>39</v>
      </c>
      <c r="M1231" s="4">
        <v>92</v>
      </c>
      <c r="N1231" s="4">
        <v>3</v>
      </c>
      <c r="O1231" s="4">
        <v>2</v>
      </c>
      <c r="P1231" s="4" t="s">
        <v>53</v>
      </c>
      <c r="Q1231" s="4">
        <v>1</v>
      </c>
      <c r="R1231" s="4" t="s">
        <v>48</v>
      </c>
      <c r="S1231" s="4">
        <v>6516</v>
      </c>
      <c r="T1231" s="4">
        <v>5041</v>
      </c>
      <c r="U1231" s="4">
        <v>2</v>
      </c>
      <c r="V1231" s="4" t="s">
        <v>42</v>
      </c>
      <c r="W1231" s="4" t="s">
        <v>35</v>
      </c>
      <c r="X1231" s="4">
        <v>16</v>
      </c>
      <c r="Y1231" s="4">
        <v>3</v>
      </c>
      <c r="Z1231" s="4">
        <v>2</v>
      </c>
      <c r="AA1231" s="4">
        <v>80</v>
      </c>
      <c r="AB1231" s="4">
        <v>1</v>
      </c>
      <c r="AC1231" s="4">
        <v>18</v>
      </c>
      <c r="AD1231" s="4">
        <v>3</v>
      </c>
      <c r="AE1231" s="4">
        <v>3</v>
      </c>
      <c r="AF1231" s="4">
        <v>1</v>
      </c>
      <c r="AG1231" s="4">
        <v>0</v>
      </c>
      <c r="AH1231" s="4">
        <v>0</v>
      </c>
      <c r="AI1231" s="4">
        <v>0</v>
      </c>
      <c r="AJ1231" s="4"/>
      <c r="AK1231" s="4"/>
      <c r="AL1231" s="4"/>
      <c r="AM1231" s="4"/>
      <c r="AN1231" s="4"/>
      <c r="AO1231" s="4"/>
    </row>
    <row r="1232" spans="1:41" hidden="1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41" hidden="1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41" hidden="1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41" hidden="1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41" hidden="1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41" x14ac:dyDescent="0.3">
      <c r="A1237" s="4">
        <v>46</v>
      </c>
      <c r="B1237" s="4" t="s">
        <v>43</v>
      </c>
      <c r="C1237" s="4" t="s">
        <v>36</v>
      </c>
      <c r="D1237" s="4">
        <v>1277</v>
      </c>
      <c r="E1237" s="4" t="s">
        <v>37</v>
      </c>
      <c r="F1237" s="4">
        <v>2</v>
      </c>
      <c r="G1237" s="4">
        <v>3</v>
      </c>
      <c r="H1237" s="4" t="s">
        <v>38</v>
      </c>
      <c r="I1237" s="4">
        <v>1</v>
      </c>
      <c r="J1237" s="4">
        <v>1732</v>
      </c>
      <c r="K1237" s="4">
        <v>3</v>
      </c>
      <c r="L1237" s="4" t="s">
        <v>46</v>
      </c>
      <c r="M1237" s="4">
        <v>74</v>
      </c>
      <c r="N1237" s="4">
        <v>3</v>
      </c>
      <c r="O1237" s="4">
        <v>3</v>
      </c>
      <c r="P1237" s="4" t="s">
        <v>40</v>
      </c>
      <c r="Q1237" s="4">
        <v>4</v>
      </c>
      <c r="R1237" s="4" t="s">
        <v>52</v>
      </c>
      <c r="S1237" s="4">
        <v>10368</v>
      </c>
      <c r="T1237" s="4">
        <v>5596</v>
      </c>
      <c r="U1237" s="4">
        <v>4</v>
      </c>
      <c r="V1237" s="4" t="s">
        <v>42</v>
      </c>
      <c r="W1237" s="4" t="s">
        <v>35</v>
      </c>
      <c r="X1237" s="4">
        <v>12</v>
      </c>
      <c r="Y1237" s="4">
        <v>3</v>
      </c>
      <c r="Z1237" s="4">
        <v>2</v>
      </c>
      <c r="AA1237" s="4">
        <v>80</v>
      </c>
      <c r="AB1237" s="4">
        <v>1</v>
      </c>
      <c r="AC1237" s="4">
        <v>13</v>
      </c>
      <c r="AD1237" s="4">
        <v>5</v>
      </c>
      <c r="AE1237" s="4">
        <v>2</v>
      </c>
      <c r="AF1237" s="4">
        <v>10</v>
      </c>
      <c r="AG1237" s="4">
        <v>6</v>
      </c>
      <c r="AH1237" s="4">
        <v>0</v>
      </c>
      <c r="AI1237" s="4">
        <v>3</v>
      </c>
      <c r="AJ1237" s="4"/>
      <c r="AK1237" s="4"/>
      <c r="AL1237" s="4"/>
      <c r="AM1237" s="4"/>
      <c r="AN1237" s="4"/>
      <c r="AO1237" s="4"/>
    </row>
    <row r="1238" spans="1:41" x14ac:dyDescent="0.3">
      <c r="A1238" s="4">
        <v>36</v>
      </c>
      <c r="B1238" s="4" t="s">
        <v>35</v>
      </c>
      <c r="C1238" s="4" t="s">
        <v>36</v>
      </c>
      <c r="D1238" s="4">
        <v>1456</v>
      </c>
      <c r="E1238" s="4" t="s">
        <v>37</v>
      </c>
      <c r="F1238" s="4">
        <v>13</v>
      </c>
      <c r="G1238" s="4">
        <v>5</v>
      </c>
      <c r="H1238" s="4" t="s">
        <v>59</v>
      </c>
      <c r="I1238" s="4">
        <v>1</v>
      </c>
      <c r="J1238" s="4">
        <v>1733</v>
      </c>
      <c r="K1238" s="4">
        <v>2</v>
      </c>
      <c r="L1238" s="4" t="s">
        <v>46</v>
      </c>
      <c r="M1238" s="4">
        <v>96</v>
      </c>
      <c r="N1238" s="4">
        <v>2</v>
      </c>
      <c r="O1238" s="4">
        <v>2</v>
      </c>
      <c r="P1238" s="4" t="s">
        <v>40</v>
      </c>
      <c r="Q1238" s="4">
        <v>1</v>
      </c>
      <c r="R1238" s="4" t="s">
        <v>52</v>
      </c>
      <c r="S1238" s="4">
        <v>6134</v>
      </c>
      <c r="T1238" s="4">
        <v>8658</v>
      </c>
      <c r="U1238" s="4">
        <v>5</v>
      </c>
      <c r="V1238" s="4" t="s">
        <v>42</v>
      </c>
      <c r="W1238" s="4" t="s">
        <v>35</v>
      </c>
      <c r="X1238" s="4">
        <v>13</v>
      </c>
      <c r="Y1238" s="4">
        <v>3</v>
      </c>
      <c r="Z1238" s="4">
        <v>2</v>
      </c>
      <c r="AA1238" s="4">
        <v>80</v>
      </c>
      <c r="AB1238" s="4">
        <v>3</v>
      </c>
      <c r="AC1238" s="4">
        <v>16</v>
      </c>
      <c r="AD1238" s="4">
        <v>3</v>
      </c>
      <c r="AE1238" s="4">
        <v>3</v>
      </c>
      <c r="AF1238" s="4">
        <v>2</v>
      </c>
      <c r="AG1238" s="4">
        <v>2</v>
      </c>
      <c r="AH1238" s="4">
        <v>2</v>
      </c>
      <c r="AI1238" s="4">
        <v>2</v>
      </c>
      <c r="AJ1238" s="4"/>
      <c r="AK1238" s="4"/>
      <c r="AL1238" s="4"/>
      <c r="AM1238" s="4"/>
      <c r="AN1238" s="4"/>
      <c r="AO1238" s="4"/>
    </row>
    <row r="1239" spans="1:41" hidden="1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41" hidden="1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41" hidden="1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41" x14ac:dyDescent="0.3">
      <c r="A1242" s="4">
        <v>39</v>
      </c>
      <c r="B1242" s="4" t="s">
        <v>43</v>
      </c>
      <c r="C1242" s="4" t="s">
        <v>55</v>
      </c>
      <c r="D1242" s="4">
        <v>792</v>
      </c>
      <c r="E1242" s="4" t="s">
        <v>45</v>
      </c>
      <c r="F1242" s="4">
        <v>1</v>
      </c>
      <c r="G1242" s="4">
        <v>3</v>
      </c>
      <c r="H1242" s="4" t="s">
        <v>38</v>
      </c>
      <c r="I1242" s="4">
        <v>1</v>
      </c>
      <c r="J1242" s="4">
        <v>1737</v>
      </c>
      <c r="K1242" s="4">
        <v>4</v>
      </c>
      <c r="L1242" s="4" t="s">
        <v>46</v>
      </c>
      <c r="M1242" s="4">
        <v>77</v>
      </c>
      <c r="N1242" s="4">
        <v>3</v>
      </c>
      <c r="O1242" s="4">
        <v>2</v>
      </c>
      <c r="P1242" s="4" t="s">
        <v>50</v>
      </c>
      <c r="Q1242" s="4">
        <v>4</v>
      </c>
      <c r="R1242" s="4" t="s">
        <v>48</v>
      </c>
      <c r="S1242" s="4">
        <v>6472</v>
      </c>
      <c r="T1242" s="4">
        <v>8989</v>
      </c>
      <c r="U1242" s="4">
        <v>1</v>
      </c>
      <c r="V1242" s="4" t="s">
        <v>42</v>
      </c>
      <c r="W1242" s="4" t="s">
        <v>35</v>
      </c>
      <c r="X1242" s="4">
        <v>15</v>
      </c>
      <c r="Y1242" s="4">
        <v>3</v>
      </c>
      <c r="Z1242" s="4">
        <v>4</v>
      </c>
      <c r="AA1242" s="4">
        <v>80</v>
      </c>
      <c r="AB1242" s="4">
        <v>1</v>
      </c>
      <c r="AC1242" s="4">
        <v>9</v>
      </c>
      <c r="AD1242" s="4">
        <v>2</v>
      </c>
      <c r="AE1242" s="4">
        <v>3</v>
      </c>
      <c r="AF1242" s="4">
        <v>9</v>
      </c>
      <c r="AG1242" s="4">
        <v>8</v>
      </c>
      <c r="AH1242" s="4">
        <v>5</v>
      </c>
      <c r="AI1242" s="4">
        <v>8</v>
      </c>
      <c r="AJ1242" s="4"/>
      <c r="AK1242" s="4"/>
      <c r="AL1242" s="4"/>
      <c r="AM1242" s="4"/>
      <c r="AN1242" s="4"/>
      <c r="AO1242" s="4"/>
    </row>
    <row r="1243" spans="1:41" hidden="1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41" hidden="1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41" hidden="1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41" hidden="1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41" hidden="1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41" hidden="1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41" hidden="1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41" hidden="1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41" hidden="1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41" x14ac:dyDescent="0.3">
      <c r="A1252" s="4">
        <v>29</v>
      </c>
      <c r="B1252" s="4" t="s">
        <v>43</v>
      </c>
      <c r="C1252" s="4" t="s">
        <v>44</v>
      </c>
      <c r="D1252" s="4">
        <v>461</v>
      </c>
      <c r="E1252" s="4" t="s">
        <v>45</v>
      </c>
      <c r="F1252" s="4">
        <v>1</v>
      </c>
      <c r="G1252" s="4">
        <v>3</v>
      </c>
      <c r="H1252" s="4" t="s">
        <v>38</v>
      </c>
      <c r="I1252" s="4">
        <v>1</v>
      </c>
      <c r="J1252" s="4">
        <v>1753</v>
      </c>
      <c r="K1252" s="4">
        <v>4</v>
      </c>
      <c r="L1252" s="4" t="s">
        <v>46</v>
      </c>
      <c r="M1252" s="4">
        <v>70</v>
      </c>
      <c r="N1252" s="4">
        <v>4</v>
      </c>
      <c r="O1252" s="4">
        <v>2</v>
      </c>
      <c r="P1252" s="4" t="s">
        <v>54</v>
      </c>
      <c r="Q1252" s="4">
        <v>3</v>
      </c>
      <c r="R1252" s="4" t="s">
        <v>41</v>
      </c>
      <c r="S1252" s="4">
        <v>6294</v>
      </c>
      <c r="T1252" s="4">
        <v>23060</v>
      </c>
      <c r="U1252" s="4">
        <v>8</v>
      </c>
      <c r="V1252" s="4" t="s">
        <v>42</v>
      </c>
      <c r="W1252" s="4" t="s">
        <v>35</v>
      </c>
      <c r="X1252" s="4">
        <v>12</v>
      </c>
      <c r="Y1252" s="4">
        <v>3</v>
      </c>
      <c r="Z1252" s="4">
        <v>4</v>
      </c>
      <c r="AA1252" s="4">
        <v>80</v>
      </c>
      <c r="AB1252" s="4">
        <v>0</v>
      </c>
      <c r="AC1252" s="4">
        <v>10</v>
      </c>
      <c r="AD1252" s="4">
        <v>5</v>
      </c>
      <c r="AE1252" s="4">
        <v>4</v>
      </c>
      <c r="AF1252" s="4">
        <v>3</v>
      </c>
      <c r="AG1252" s="4">
        <v>2</v>
      </c>
      <c r="AH1252" s="4">
        <v>0</v>
      </c>
      <c r="AI1252" s="4">
        <v>2</v>
      </c>
      <c r="AJ1252" s="4"/>
      <c r="AK1252" s="4"/>
      <c r="AL1252" s="4"/>
      <c r="AM1252" s="4"/>
      <c r="AN1252" s="4"/>
      <c r="AO1252" s="4"/>
    </row>
    <row r="1253" spans="1:41" hidden="1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41" x14ac:dyDescent="0.3">
      <c r="A1254" s="4">
        <v>34</v>
      </c>
      <c r="B1254" s="4" t="s">
        <v>43</v>
      </c>
      <c r="C1254" s="4" t="s">
        <v>36</v>
      </c>
      <c r="D1254" s="4">
        <v>181</v>
      </c>
      <c r="E1254" s="4" t="s">
        <v>45</v>
      </c>
      <c r="F1254" s="4">
        <v>2</v>
      </c>
      <c r="G1254" s="4">
        <v>4</v>
      </c>
      <c r="H1254" s="4" t="s">
        <v>51</v>
      </c>
      <c r="I1254" s="4">
        <v>1</v>
      </c>
      <c r="J1254" s="4">
        <v>1755</v>
      </c>
      <c r="K1254" s="4">
        <v>4</v>
      </c>
      <c r="L1254" s="4" t="s">
        <v>46</v>
      </c>
      <c r="M1254" s="4">
        <v>97</v>
      </c>
      <c r="N1254" s="4">
        <v>4</v>
      </c>
      <c r="O1254" s="4">
        <v>1</v>
      </c>
      <c r="P1254" s="4" t="s">
        <v>47</v>
      </c>
      <c r="Q1254" s="4">
        <v>4</v>
      </c>
      <c r="R1254" s="4" t="s">
        <v>48</v>
      </c>
      <c r="S1254" s="4">
        <v>2932</v>
      </c>
      <c r="T1254" s="4">
        <v>5586</v>
      </c>
      <c r="U1254" s="4">
        <v>0</v>
      </c>
      <c r="V1254" s="4" t="s">
        <v>42</v>
      </c>
      <c r="W1254" s="4" t="s">
        <v>35</v>
      </c>
      <c r="X1254" s="4">
        <v>14</v>
      </c>
      <c r="Y1254" s="4">
        <v>3</v>
      </c>
      <c r="Z1254" s="4">
        <v>1</v>
      </c>
      <c r="AA1254" s="4">
        <v>80</v>
      </c>
      <c r="AB1254" s="4">
        <v>3</v>
      </c>
      <c r="AC1254" s="4">
        <v>6</v>
      </c>
      <c r="AD1254" s="4">
        <v>3</v>
      </c>
      <c r="AE1254" s="4">
        <v>3</v>
      </c>
      <c r="AF1254" s="4">
        <v>5</v>
      </c>
      <c r="AG1254" s="4">
        <v>0</v>
      </c>
      <c r="AH1254" s="4">
        <v>1</v>
      </c>
      <c r="AI1254" s="4">
        <v>2</v>
      </c>
      <c r="AJ1254" s="4"/>
      <c r="AK1254" s="4"/>
      <c r="AL1254" s="4"/>
      <c r="AM1254" s="4"/>
      <c r="AN1254" s="4"/>
      <c r="AO1254" s="4"/>
    </row>
    <row r="1255" spans="1:41" hidden="1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41" hidden="1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41" x14ac:dyDescent="0.3">
      <c r="A1257" s="4">
        <v>33</v>
      </c>
      <c r="B1257" s="4" t="s">
        <v>35</v>
      </c>
      <c r="C1257" s="4" t="s">
        <v>36</v>
      </c>
      <c r="D1257" s="4">
        <v>211</v>
      </c>
      <c r="E1257" s="4" t="s">
        <v>37</v>
      </c>
      <c r="F1257" s="4">
        <v>16</v>
      </c>
      <c r="G1257" s="4">
        <v>3</v>
      </c>
      <c r="H1257" s="4" t="s">
        <v>38</v>
      </c>
      <c r="I1257" s="4">
        <v>1</v>
      </c>
      <c r="J1257" s="4">
        <v>1758</v>
      </c>
      <c r="K1257" s="4">
        <v>1</v>
      </c>
      <c r="L1257" s="4" t="s">
        <v>39</v>
      </c>
      <c r="M1257" s="4">
        <v>74</v>
      </c>
      <c r="N1257" s="4">
        <v>3</v>
      </c>
      <c r="O1257" s="4">
        <v>3</v>
      </c>
      <c r="P1257" s="4" t="s">
        <v>40</v>
      </c>
      <c r="Q1257" s="4">
        <v>1</v>
      </c>
      <c r="R1257" s="4" t="s">
        <v>41</v>
      </c>
      <c r="S1257" s="4">
        <v>8564</v>
      </c>
      <c r="T1257" s="4">
        <v>10092</v>
      </c>
      <c r="U1257" s="4">
        <v>2</v>
      </c>
      <c r="V1257" s="4" t="s">
        <v>42</v>
      </c>
      <c r="W1257" s="4" t="s">
        <v>35</v>
      </c>
      <c r="X1257" s="4">
        <v>20</v>
      </c>
      <c r="Y1257" s="4">
        <v>4</v>
      </c>
      <c r="Z1257" s="4">
        <v>3</v>
      </c>
      <c r="AA1257" s="4">
        <v>80</v>
      </c>
      <c r="AB1257" s="4">
        <v>0</v>
      </c>
      <c r="AC1257" s="4">
        <v>11</v>
      </c>
      <c r="AD1257" s="4">
        <v>2</v>
      </c>
      <c r="AE1257" s="4">
        <v>2</v>
      </c>
      <c r="AF1257" s="4">
        <v>0</v>
      </c>
      <c r="AG1257" s="4">
        <v>0</v>
      </c>
      <c r="AH1257" s="4">
        <v>0</v>
      </c>
      <c r="AI1257" s="4">
        <v>0</v>
      </c>
      <c r="AJ1257" s="4"/>
      <c r="AK1257" s="4"/>
      <c r="AL1257" s="4"/>
      <c r="AM1257" s="4"/>
      <c r="AN1257" s="4"/>
      <c r="AO1257" s="4"/>
    </row>
    <row r="1258" spans="1:41" hidden="1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41" hidden="1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41" hidden="1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41" hidden="1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41" hidden="1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41" x14ac:dyDescent="0.3">
      <c r="A1263" s="4">
        <v>38</v>
      </c>
      <c r="B1263" s="4" t="s">
        <v>43</v>
      </c>
      <c r="C1263" s="4" t="s">
        <v>36</v>
      </c>
      <c r="D1263" s="4">
        <v>833</v>
      </c>
      <c r="E1263" s="4" t="s">
        <v>45</v>
      </c>
      <c r="F1263" s="4">
        <v>18</v>
      </c>
      <c r="G1263" s="4">
        <v>3</v>
      </c>
      <c r="H1263" s="4" t="s">
        <v>51</v>
      </c>
      <c r="I1263" s="4">
        <v>1</v>
      </c>
      <c r="J1263" s="4">
        <v>1766</v>
      </c>
      <c r="K1263" s="4">
        <v>2</v>
      </c>
      <c r="L1263" s="4" t="s">
        <v>46</v>
      </c>
      <c r="M1263" s="4">
        <v>60</v>
      </c>
      <c r="N1263" s="4">
        <v>1</v>
      </c>
      <c r="O1263" s="4">
        <v>2</v>
      </c>
      <c r="P1263" s="4" t="s">
        <v>54</v>
      </c>
      <c r="Q1263" s="4">
        <v>4</v>
      </c>
      <c r="R1263" s="4" t="s">
        <v>48</v>
      </c>
      <c r="S1263" s="4">
        <v>5811</v>
      </c>
      <c r="T1263" s="4">
        <v>24539</v>
      </c>
      <c r="U1263" s="4">
        <v>3</v>
      </c>
      <c r="V1263" s="4" t="s">
        <v>42</v>
      </c>
      <c r="W1263" s="4" t="s">
        <v>35</v>
      </c>
      <c r="X1263" s="4">
        <v>16</v>
      </c>
      <c r="Y1263" s="4">
        <v>3</v>
      </c>
      <c r="Z1263" s="4">
        <v>3</v>
      </c>
      <c r="AA1263" s="4">
        <v>80</v>
      </c>
      <c r="AB1263" s="4">
        <v>1</v>
      </c>
      <c r="AC1263" s="4">
        <v>15</v>
      </c>
      <c r="AD1263" s="4">
        <v>2</v>
      </c>
      <c r="AE1263" s="4">
        <v>3</v>
      </c>
      <c r="AF1263" s="4">
        <v>1</v>
      </c>
      <c r="AG1263" s="4">
        <v>0</v>
      </c>
      <c r="AH1263" s="4">
        <v>1</v>
      </c>
      <c r="AI1263" s="4">
        <v>0</v>
      </c>
      <c r="AJ1263" s="4"/>
      <c r="AK1263" s="4"/>
      <c r="AL1263" s="4"/>
      <c r="AM1263" s="4"/>
      <c r="AN1263" s="4"/>
      <c r="AO1263" s="4"/>
    </row>
    <row r="1264" spans="1:41" x14ac:dyDescent="0.3">
      <c r="A1264" s="4">
        <v>43</v>
      </c>
      <c r="B1264" s="4" t="s">
        <v>35</v>
      </c>
      <c r="C1264" s="4" t="s">
        <v>44</v>
      </c>
      <c r="D1264" s="4">
        <v>807</v>
      </c>
      <c r="E1264" s="4" t="s">
        <v>45</v>
      </c>
      <c r="F1264" s="4">
        <v>17</v>
      </c>
      <c r="G1264" s="4">
        <v>3</v>
      </c>
      <c r="H1264" s="4" t="s">
        <v>60</v>
      </c>
      <c r="I1264" s="4">
        <v>1</v>
      </c>
      <c r="J1264" s="4">
        <v>1767</v>
      </c>
      <c r="K1264" s="4">
        <v>3</v>
      </c>
      <c r="L1264" s="4" t="s">
        <v>46</v>
      </c>
      <c r="M1264" s="4">
        <v>38</v>
      </c>
      <c r="N1264" s="4">
        <v>2</v>
      </c>
      <c r="O1264" s="4">
        <v>1</v>
      </c>
      <c r="P1264" s="4" t="s">
        <v>47</v>
      </c>
      <c r="Q1264" s="4">
        <v>3</v>
      </c>
      <c r="R1264" s="4" t="s">
        <v>48</v>
      </c>
      <c r="S1264" s="4">
        <v>2437</v>
      </c>
      <c r="T1264" s="4">
        <v>15587</v>
      </c>
      <c r="U1264" s="4">
        <v>9</v>
      </c>
      <c r="V1264" s="4" t="s">
        <v>42</v>
      </c>
      <c r="W1264" s="4" t="s">
        <v>35</v>
      </c>
      <c r="X1264" s="4">
        <v>16</v>
      </c>
      <c r="Y1264" s="4">
        <v>3</v>
      </c>
      <c r="Z1264" s="4">
        <v>4</v>
      </c>
      <c r="AA1264" s="4">
        <v>80</v>
      </c>
      <c r="AB1264" s="4">
        <v>1</v>
      </c>
      <c r="AC1264" s="4">
        <v>6</v>
      </c>
      <c r="AD1264" s="4">
        <v>4</v>
      </c>
      <c r="AE1264" s="4">
        <v>3</v>
      </c>
      <c r="AF1264" s="4">
        <v>1</v>
      </c>
      <c r="AG1264" s="4">
        <v>0</v>
      </c>
      <c r="AH1264" s="4">
        <v>0</v>
      </c>
      <c r="AI1264" s="4">
        <v>0</v>
      </c>
      <c r="AJ1264" s="4"/>
      <c r="AK1264" s="4"/>
      <c r="AL1264" s="4"/>
      <c r="AM1264" s="4"/>
      <c r="AN1264" s="4"/>
      <c r="AO1264" s="4"/>
    </row>
    <row r="1265" spans="1:41" hidden="1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41" hidden="1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41" hidden="1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41" hidden="1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41" x14ac:dyDescent="0.3">
      <c r="A1269" s="4">
        <v>34</v>
      </c>
      <c r="B1269" s="4" t="s">
        <v>43</v>
      </c>
      <c r="C1269" s="4" t="s">
        <v>55</v>
      </c>
      <c r="D1269" s="4">
        <v>1375</v>
      </c>
      <c r="E1269" s="4" t="s">
        <v>37</v>
      </c>
      <c r="F1269" s="4">
        <v>10</v>
      </c>
      <c r="G1269" s="4">
        <v>3</v>
      </c>
      <c r="H1269" s="4" t="s">
        <v>38</v>
      </c>
      <c r="I1269" s="4">
        <v>1</v>
      </c>
      <c r="J1269" s="4">
        <v>1774</v>
      </c>
      <c r="K1269" s="4">
        <v>4</v>
      </c>
      <c r="L1269" s="4" t="s">
        <v>46</v>
      </c>
      <c r="M1269" s="4">
        <v>87</v>
      </c>
      <c r="N1269" s="4">
        <v>3</v>
      </c>
      <c r="O1269" s="4">
        <v>2</v>
      </c>
      <c r="P1269" s="4" t="s">
        <v>40</v>
      </c>
      <c r="Q1269" s="4">
        <v>3</v>
      </c>
      <c r="R1269" s="4" t="s">
        <v>52</v>
      </c>
      <c r="S1269" s="4">
        <v>4001</v>
      </c>
      <c r="T1269" s="4">
        <v>12313</v>
      </c>
      <c r="U1269" s="4">
        <v>1</v>
      </c>
      <c r="V1269" s="4" t="s">
        <v>42</v>
      </c>
      <c r="W1269" s="4" t="s">
        <v>35</v>
      </c>
      <c r="X1269" s="4">
        <v>14</v>
      </c>
      <c r="Y1269" s="4">
        <v>3</v>
      </c>
      <c r="Z1269" s="4">
        <v>3</v>
      </c>
      <c r="AA1269" s="4">
        <v>80</v>
      </c>
      <c r="AB1269" s="4">
        <v>1</v>
      </c>
      <c r="AC1269" s="4">
        <v>15</v>
      </c>
      <c r="AD1269" s="4">
        <v>3</v>
      </c>
      <c r="AE1269" s="4">
        <v>3</v>
      </c>
      <c r="AF1269" s="4">
        <v>15</v>
      </c>
      <c r="AG1269" s="4">
        <v>14</v>
      </c>
      <c r="AH1269" s="4">
        <v>0</v>
      </c>
      <c r="AI1269" s="4">
        <v>7</v>
      </c>
      <c r="AJ1269" s="4"/>
      <c r="AK1269" s="4"/>
      <c r="AL1269" s="4"/>
      <c r="AM1269" s="4"/>
      <c r="AN1269" s="4"/>
      <c r="AO1269" s="4"/>
    </row>
    <row r="1270" spans="1:41" x14ac:dyDescent="0.3">
      <c r="A1270" s="4">
        <v>53</v>
      </c>
      <c r="B1270" s="4" t="s">
        <v>43</v>
      </c>
      <c r="C1270" s="4" t="s">
        <v>55</v>
      </c>
      <c r="D1270" s="4">
        <v>661</v>
      </c>
      <c r="E1270" s="4" t="s">
        <v>45</v>
      </c>
      <c r="F1270" s="4">
        <v>1</v>
      </c>
      <c r="G1270" s="4">
        <v>4</v>
      </c>
      <c r="H1270" s="4" t="s">
        <v>51</v>
      </c>
      <c r="I1270" s="4">
        <v>1</v>
      </c>
      <c r="J1270" s="4">
        <v>1775</v>
      </c>
      <c r="K1270" s="4">
        <v>1</v>
      </c>
      <c r="L1270" s="4" t="s">
        <v>39</v>
      </c>
      <c r="M1270" s="4">
        <v>60</v>
      </c>
      <c r="N1270" s="4">
        <v>2</v>
      </c>
      <c r="O1270" s="4">
        <v>4</v>
      </c>
      <c r="P1270" s="4" t="s">
        <v>53</v>
      </c>
      <c r="Q1270" s="4">
        <v>3</v>
      </c>
      <c r="R1270" s="4" t="s">
        <v>48</v>
      </c>
      <c r="S1270" s="4">
        <v>12965</v>
      </c>
      <c r="T1270" s="4">
        <v>22308</v>
      </c>
      <c r="U1270" s="4">
        <v>4</v>
      </c>
      <c r="V1270" s="4" t="s">
        <v>42</v>
      </c>
      <c r="W1270" s="4" t="s">
        <v>35</v>
      </c>
      <c r="X1270" s="4">
        <v>20</v>
      </c>
      <c r="Y1270" s="4">
        <v>4</v>
      </c>
      <c r="Z1270" s="4">
        <v>4</v>
      </c>
      <c r="AA1270" s="4">
        <v>80</v>
      </c>
      <c r="AB1270" s="4">
        <v>3</v>
      </c>
      <c r="AC1270" s="4">
        <v>27</v>
      </c>
      <c r="AD1270" s="4">
        <v>2</v>
      </c>
      <c r="AE1270" s="4">
        <v>2</v>
      </c>
      <c r="AF1270" s="4">
        <v>3</v>
      </c>
      <c r="AG1270" s="4">
        <v>2</v>
      </c>
      <c r="AH1270" s="4">
        <v>0</v>
      </c>
      <c r="AI1270" s="4">
        <v>2</v>
      </c>
      <c r="AJ1270" s="4"/>
      <c r="AK1270" s="4"/>
      <c r="AL1270" s="4"/>
      <c r="AM1270" s="4"/>
      <c r="AN1270" s="4"/>
      <c r="AO1270" s="4"/>
    </row>
    <row r="1271" spans="1:41" hidden="1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41" hidden="1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41" hidden="1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41" hidden="1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41" x14ac:dyDescent="0.3">
      <c r="A1275" s="4">
        <v>22</v>
      </c>
      <c r="B1275" s="4" t="s">
        <v>35</v>
      </c>
      <c r="C1275" s="4" t="s">
        <v>36</v>
      </c>
      <c r="D1275" s="4">
        <v>1294</v>
      </c>
      <c r="E1275" s="4" t="s">
        <v>45</v>
      </c>
      <c r="F1275" s="4">
        <v>8</v>
      </c>
      <c r="G1275" s="4">
        <v>1</v>
      </c>
      <c r="H1275" s="4" t="s">
        <v>51</v>
      </c>
      <c r="I1275" s="4">
        <v>1</v>
      </c>
      <c r="J1275" s="4">
        <v>1783</v>
      </c>
      <c r="K1275" s="4">
        <v>3</v>
      </c>
      <c r="L1275" s="4" t="s">
        <v>39</v>
      </c>
      <c r="M1275" s="4">
        <v>79</v>
      </c>
      <c r="N1275" s="4">
        <v>3</v>
      </c>
      <c r="O1275" s="4">
        <v>1</v>
      </c>
      <c r="P1275" s="4" t="s">
        <v>50</v>
      </c>
      <c r="Q1275" s="4">
        <v>1</v>
      </c>
      <c r="R1275" s="4" t="s">
        <v>48</v>
      </c>
      <c r="S1275" s="4">
        <v>2398</v>
      </c>
      <c r="T1275" s="4">
        <v>15999</v>
      </c>
      <c r="U1275" s="4">
        <v>1</v>
      </c>
      <c r="V1275" s="4" t="s">
        <v>42</v>
      </c>
      <c r="W1275" s="4" t="s">
        <v>35</v>
      </c>
      <c r="X1275" s="4">
        <v>17</v>
      </c>
      <c r="Y1275" s="4">
        <v>3</v>
      </c>
      <c r="Z1275" s="4">
        <v>3</v>
      </c>
      <c r="AA1275" s="4">
        <v>80</v>
      </c>
      <c r="AB1275" s="4">
        <v>0</v>
      </c>
      <c r="AC1275" s="4">
        <v>1</v>
      </c>
      <c r="AD1275" s="4">
        <v>6</v>
      </c>
      <c r="AE1275" s="4">
        <v>3</v>
      </c>
      <c r="AF1275" s="4">
        <v>1</v>
      </c>
      <c r="AG1275" s="4">
        <v>0</v>
      </c>
      <c r="AH1275" s="4">
        <v>0</v>
      </c>
      <c r="AI1275" s="4">
        <v>0</v>
      </c>
      <c r="AJ1275" s="4"/>
      <c r="AK1275" s="4"/>
      <c r="AL1275" s="4"/>
      <c r="AM1275" s="4"/>
      <c r="AN1275" s="4"/>
      <c r="AO1275" s="4"/>
    </row>
    <row r="1276" spans="1:41" hidden="1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41" hidden="1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41" hidden="1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41" x14ac:dyDescent="0.3">
      <c r="A1279" s="4">
        <v>46</v>
      </c>
      <c r="B1279" s="4" t="s">
        <v>43</v>
      </c>
      <c r="C1279" s="4" t="s">
        <v>36</v>
      </c>
      <c r="D1279" s="4">
        <v>734</v>
      </c>
      <c r="E1279" s="4" t="s">
        <v>45</v>
      </c>
      <c r="F1279" s="4">
        <v>2</v>
      </c>
      <c r="G1279" s="4">
        <v>4</v>
      </c>
      <c r="H1279" s="4" t="s">
        <v>51</v>
      </c>
      <c r="I1279" s="4">
        <v>1</v>
      </c>
      <c r="J1279" s="4">
        <v>1789</v>
      </c>
      <c r="K1279" s="4">
        <v>3</v>
      </c>
      <c r="L1279" s="4" t="s">
        <v>46</v>
      </c>
      <c r="M1279" s="4">
        <v>46</v>
      </c>
      <c r="N1279" s="4">
        <v>3</v>
      </c>
      <c r="O1279" s="4">
        <v>5</v>
      </c>
      <c r="P1279" s="4" t="s">
        <v>58</v>
      </c>
      <c r="Q1279" s="4">
        <v>4</v>
      </c>
      <c r="R1279" s="4" t="s">
        <v>52</v>
      </c>
      <c r="S1279" s="4">
        <v>19328</v>
      </c>
      <c r="T1279" s="4">
        <v>14218</v>
      </c>
      <c r="U1279" s="4">
        <v>7</v>
      </c>
      <c r="V1279" s="4" t="s">
        <v>42</v>
      </c>
      <c r="W1279" s="4" t="s">
        <v>35</v>
      </c>
      <c r="X1279" s="4">
        <v>17</v>
      </c>
      <c r="Y1279" s="4">
        <v>3</v>
      </c>
      <c r="Z1279" s="4">
        <v>3</v>
      </c>
      <c r="AA1279" s="4">
        <v>80</v>
      </c>
      <c r="AB1279" s="4">
        <v>1</v>
      </c>
      <c r="AC1279" s="4">
        <v>24</v>
      </c>
      <c r="AD1279" s="4">
        <v>3</v>
      </c>
      <c r="AE1279" s="4">
        <v>3</v>
      </c>
      <c r="AF1279" s="4">
        <v>2</v>
      </c>
      <c r="AG1279" s="4">
        <v>1</v>
      </c>
      <c r="AH1279" s="4">
        <v>2</v>
      </c>
      <c r="AI1279" s="4">
        <v>2</v>
      </c>
      <c r="AJ1279" s="4"/>
      <c r="AK1279" s="4"/>
      <c r="AL1279" s="4"/>
      <c r="AM1279" s="4"/>
      <c r="AN1279" s="4"/>
      <c r="AO1279" s="4"/>
    </row>
    <row r="1280" spans="1:41" x14ac:dyDescent="0.3">
      <c r="A1280" s="4">
        <v>36</v>
      </c>
      <c r="B1280" s="4" t="s">
        <v>43</v>
      </c>
      <c r="C1280" s="4" t="s">
        <v>36</v>
      </c>
      <c r="D1280" s="4">
        <v>1383</v>
      </c>
      <c r="E1280" s="4" t="s">
        <v>45</v>
      </c>
      <c r="F1280" s="4">
        <v>10</v>
      </c>
      <c r="G1280" s="4">
        <v>3</v>
      </c>
      <c r="H1280" s="4" t="s">
        <v>38</v>
      </c>
      <c r="I1280" s="4">
        <v>1</v>
      </c>
      <c r="J1280" s="4">
        <v>1790</v>
      </c>
      <c r="K1280" s="4">
        <v>4</v>
      </c>
      <c r="L1280" s="4" t="s">
        <v>46</v>
      </c>
      <c r="M1280" s="4">
        <v>90</v>
      </c>
      <c r="N1280" s="4">
        <v>3</v>
      </c>
      <c r="O1280" s="4">
        <v>3</v>
      </c>
      <c r="P1280" s="4" t="s">
        <v>54</v>
      </c>
      <c r="Q1280" s="4">
        <v>1</v>
      </c>
      <c r="R1280" s="4" t="s">
        <v>48</v>
      </c>
      <c r="S1280" s="4">
        <v>8321</v>
      </c>
      <c r="T1280" s="4">
        <v>25949</v>
      </c>
      <c r="U1280" s="4">
        <v>7</v>
      </c>
      <c r="V1280" s="4" t="s">
        <v>42</v>
      </c>
      <c r="W1280" s="4" t="s">
        <v>35</v>
      </c>
      <c r="X1280" s="4">
        <v>13</v>
      </c>
      <c r="Y1280" s="4">
        <v>3</v>
      </c>
      <c r="Z1280" s="4">
        <v>4</v>
      </c>
      <c r="AA1280" s="4">
        <v>80</v>
      </c>
      <c r="AB1280" s="4">
        <v>1</v>
      </c>
      <c r="AC1280" s="4">
        <v>15</v>
      </c>
      <c r="AD1280" s="4">
        <v>1</v>
      </c>
      <c r="AE1280" s="4">
        <v>3</v>
      </c>
      <c r="AF1280" s="4">
        <v>12</v>
      </c>
      <c r="AG1280" s="4">
        <v>8</v>
      </c>
      <c r="AH1280" s="4">
        <v>5</v>
      </c>
      <c r="AI1280" s="4">
        <v>7</v>
      </c>
      <c r="AJ1280" s="4"/>
      <c r="AK1280" s="4"/>
      <c r="AL1280" s="4"/>
      <c r="AM1280" s="4"/>
      <c r="AN1280" s="4"/>
      <c r="AO1280" s="4"/>
    </row>
    <row r="1281" spans="1:41" x14ac:dyDescent="0.3">
      <c r="A1281" s="4">
        <v>44</v>
      </c>
      <c r="B1281" s="4" t="s">
        <v>35</v>
      </c>
      <c r="C1281" s="4" t="s">
        <v>44</v>
      </c>
      <c r="D1281" s="4">
        <v>429</v>
      </c>
      <c r="E1281" s="4" t="s">
        <v>45</v>
      </c>
      <c r="F1281" s="4">
        <v>1</v>
      </c>
      <c r="G1281" s="4">
        <v>2</v>
      </c>
      <c r="H1281" s="4" t="s">
        <v>51</v>
      </c>
      <c r="I1281" s="4">
        <v>1</v>
      </c>
      <c r="J1281" s="4">
        <v>1792</v>
      </c>
      <c r="K1281" s="4">
        <v>3</v>
      </c>
      <c r="L1281" s="4" t="s">
        <v>46</v>
      </c>
      <c r="M1281" s="4">
        <v>99</v>
      </c>
      <c r="N1281" s="4">
        <v>3</v>
      </c>
      <c r="O1281" s="4">
        <v>1</v>
      </c>
      <c r="P1281" s="4" t="s">
        <v>47</v>
      </c>
      <c r="Q1281" s="4">
        <v>2</v>
      </c>
      <c r="R1281" s="4" t="s">
        <v>52</v>
      </c>
      <c r="S1281" s="4">
        <v>2342</v>
      </c>
      <c r="T1281" s="4">
        <v>11092</v>
      </c>
      <c r="U1281" s="4">
        <v>1</v>
      </c>
      <c r="V1281" s="4" t="s">
        <v>42</v>
      </c>
      <c r="W1281" s="4" t="s">
        <v>35</v>
      </c>
      <c r="X1281" s="4">
        <v>12</v>
      </c>
      <c r="Y1281" s="4">
        <v>3</v>
      </c>
      <c r="Z1281" s="4">
        <v>3</v>
      </c>
      <c r="AA1281" s="4">
        <v>80</v>
      </c>
      <c r="AB1281" s="4">
        <v>3</v>
      </c>
      <c r="AC1281" s="4">
        <v>6</v>
      </c>
      <c r="AD1281" s="4">
        <v>2</v>
      </c>
      <c r="AE1281" s="4">
        <v>2</v>
      </c>
      <c r="AF1281" s="4">
        <v>5</v>
      </c>
      <c r="AG1281" s="4">
        <v>3</v>
      </c>
      <c r="AH1281" s="4">
        <v>2</v>
      </c>
      <c r="AI1281" s="4">
        <v>3</v>
      </c>
      <c r="AJ1281" s="4"/>
      <c r="AK1281" s="4"/>
      <c r="AL1281" s="4"/>
      <c r="AM1281" s="4"/>
      <c r="AN1281" s="4"/>
      <c r="AO1281" s="4"/>
    </row>
    <row r="1282" spans="1:41" hidden="1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41" x14ac:dyDescent="0.3">
      <c r="A1283" s="4">
        <v>35</v>
      </c>
      <c r="B1283" s="4" t="s">
        <v>35</v>
      </c>
      <c r="C1283" s="4" t="s">
        <v>36</v>
      </c>
      <c r="D1283" s="4">
        <v>303</v>
      </c>
      <c r="E1283" s="4" t="s">
        <v>37</v>
      </c>
      <c r="F1283" s="4">
        <v>27</v>
      </c>
      <c r="G1283" s="4">
        <v>3</v>
      </c>
      <c r="H1283" s="4" t="s">
        <v>38</v>
      </c>
      <c r="I1283" s="4">
        <v>1</v>
      </c>
      <c r="J1283" s="4">
        <v>1797</v>
      </c>
      <c r="K1283" s="4">
        <v>3</v>
      </c>
      <c r="L1283" s="4" t="s">
        <v>46</v>
      </c>
      <c r="M1283" s="4">
        <v>84</v>
      </c>
      <c r="N1283" s="4">
        <v>3</v>
      </c>
      <c r="O1283" s="4">
        <v>2</v>
      </c>
      <c r="P1283" s="4" t="s">
        <v>40</v>
      </c>
      <c r="Q1283" s="4">
        <v>4</v>
      </c>
      <c r="R1283" s="4" t="s">
        <v>41</v>
      </c>
      <c r="S1283" s="4">
        <v>5813</v>
      </c>
      <c r="T1283" s="4">
        <v>13492</v>
      </c>
      <c r="U1283" s="4">
        <v>1</v>
      </c>
      <c r="V1283" s="4" t="s">
        <v>42</v>
      </c>
      <c r="W1283" s="4" t="s">
        <v>35</v>
      </c>
      <c r="X1283" s="4">
        <v>18</v>
      </c>
      <c r="Y1283" s="4">
        <v>3</v>
      </c>
      <c r="Z1283" s="4">
        <v>4</v>
      </c>
      <c r="AA1283" s="4">
        <v>80</v>
      </c>
      <c r="AB1283" s="4">
        <v>0</v>
      </c>
      <c r="AC1283" s="4">
        <v>10</v>
      </c>
      <c r="AD1283" s="4">
        <v>2</v>
      </c>
      <c r="AE1283" s="4">
        <v>3</v>
      </c>
      <c r="AF1283" s="4">
        <v>10</v>
      </c>
      <c r="AG1283" s="4">
        <v>7</v>
      </c>
      <c r="AH1283" s="4">
        <v>7</v>
      </c>
      <c r="AI1283" s="4">
        <v>7</v>
      </c>
      <c r="AJ1283" s="4"/>
      <c r="AK1283" s="4"/>
      <c r="AL1283" s="4"/>
      <c r="AM1283" s="4"/>
      <c r="AN1283" s="4"/>
      <c r="AO1283" s="4"/>
    </row>
    <row r="1284" spans="1:41" hidden="1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41" hidden="1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41" hidden="1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41" hidden="1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41" hidden="1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41" hidden="1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41" hidden="1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41" hidden="1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41" hidden="1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41" hidden="1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41" hidden="1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41" hidden="1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41" hidden="1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41" x14ac:dyDescent="0.3">
      <c r="A1297" s="4">
        <v>41</v>
      </c>
      <c r="B1297" s="4" t="s">
        <v>43</v>
      </c>
      <c r="C1297" s="4" t="s">
        <v>36</v>
      </c>
      <c r="D1297" s="4">
        <v>796</v>
      </c>
      <c r="E1297" s="4" t="s">
        <v>37</v>
      </c>
      <c r="F1297" s="4">
        <v>4</v>
      </c>
      <c r="G1297" s="4">
        <v>1</v>
      </c>
      <c r="H1297" s="4" t="s">
        <v>59</v>
      </c>
      <c r="I1297" s="4">
        <v>1</v>
      </c>
      <c r="J1297" s="4">
        <v>1815</v>
      </c>
      <c r="K1297" s="4">
        <v>3</v>
      </c>
      <c r="L1297" s="4" t="s">
        <v>39</v>
      </c>
      <c r="M1297" s="4">
        <v>81</v>
      </c>
      <c r="N1297" s="4">
        <v>3</v>
      </c>
      <c r="O1297" s="4">
        <v>3</v>
      </c>
      <c r="P1297" s="4" t="s">
        <v>40</v>
      </c>
      <c r="Q1297" s="4">
        <v>3</v>
      </c>
      <c r="R1297" s="4" t="s">
        <v>52</v>
      </c>
      <c r="S1297" s="4">
        <v>10447</v>
      </c>
      <c r="T1297" s="4">
        <v>26458</v>
      </c>
      <c r="U1297" s="4">
        <v>0</v>
      </c>
      <c r="V1297" s="4" t="s">
        <v>42</v>
      </c>
      <c r="W1297" s="4" t="s">
        <v>35</v>
      </c>
      <c r="X1297" s="4">
        <v>13</v>
      </c>
      <c r="Y1297" s="4">
        <v>3</v>
      </c>
      <c r="Z1297" s="4">
        <v>4</v>
      </c>
      <c r="AA1297" s="4">
        <v>80</v>
      </c>
      <c r="AB1297" s="4">
        <v>1</v>
      </c>
      <c r="AC1297" s="4">
        <v>23</v>
      </c>
      <c r="AD1297" s="4">
        <v>3</v>
      </c>
      <c r="AE1297" s="4">
        <v>4</v>
      </c>
      <c r="AF1297" s="4">
        <v>22</v>
      </c>
      <c r="AG1297" s="4">
        <v>14</v>
      </c>
      <c r="AH1297" s="4">
        <v>13</v>
      </c>
      <c r="AI1297" s="4">
        <v>5</v>
      </c>
      <c r="AJ1297" s="4"/>
      <c r="AK1297" s="4"/>
      <c r="AL1297" s="4"/>
      <c r="AM1297" s="4"/>
      <c r="AN1297" s="4"/>
      <c r="AO1297" s="4"/>
    </row>
    <row r="1298" spans="1:41" hidden="1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41" x14ac:dyDescent="0.3">
      <c r="A1299" s="4">
        <v>26</v>
      </c>
      <c r="B1299" s="4" t="s">
        <v>35</v>
      </c>
      <c r="C1299" s="4" t="s">
        <v>36</v>
      </c>
      <c r="D1299" s="4">
        <v>920</v>
      </c>
      <c r="E1299" s="4" t="s">
        <v>61</v>
      </c>
      <c r="F1299" s="4">
        <v>20</v>
      </c>
      <c r="G1299" s="4">
        <v>2</v>
      </c>
      <c r="H1299" s="4" t="s">
        <v>51</v>
      </c>
      <c r="I1299" s="4">
        <v>1</v>
      </c>
      <c r="J1299" s="4">
        <v>1818</v>
      </c>
      <c r="K1299" s="4">
        <v>4</v>
      </c>
      <c r="L1299" s="4" t="s">
        <v>39</v>
      </c>
      <c r="M1299" s="4">
        <v>69</v>
      </c>
      <c r="N1299" s="4">
        <v>3</v>
      </c>
      <c r="O1299" s="4">
        <v>1</v>
      </c>
      <c r="P1299" s="4" t="s">
        <v>61</v>
      </c>
      <c r="Q1299" s="4">
        <v>2</v>
      </c>
      <c r="R1299" s="4" t="s">
        <v>48</v>
      </c>
      <c r="S1299" s="4">
        <v>2148</v>
      </c>
      <c r="T1299" s="4">
        <v>6889</v>
      </c>
      <c r="U1299" s="4">
        <v>0</v>
      </c>
      <c r="V1299" s="4" t="s">
        <v>42</v>
      </c>
      <c r="W1299" s="4" t="s">
        <v>35</v>
      </c>
      <c r="X1299" s="4">
        <v>11</v>
      </c>
      <c r="Y1299" s="4">
        <v>3</v>
      </c>
      <c r="Z1299" s="4">
        <v>3</v>
      </c>
      <c r="AA1299" s="4">
        <v>80</v>
      </c>
      <c r="AB1299" s="4">
        <v>0</v>
      </c>
      <c r="AC1299" s="4">
        <v>6</v>
      </c>
      <c r="AD1299" s="4">
        <v>3</v>
      </c>
      <c r="AE1299" s="4">
        <v>3</v>
      </c>
      <c r="AF1299" s="4">
        <v>5</v>
      </c>
      <c r="AG1299" s="4">
        <v>1</v>
      </c>
      <c r="AH1299" s="4">
        <v>1</v>
      </c>
      <c r="AI1299" s="4">
        <v>4</v>
      </c>
      <c r="AJ1299" s="4"/>
      <c r="AK1299" s="4"/>
      <c r="AL1299" s="4"/>
      <c r="AM1299" s="4"/>
      <c r="AN1299" s="4"/>
      <c r="AO1299" s="4"/>
    </row>
    <row r="1300" spans="1:41" hidden="1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41" hidden="1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41" hidden="1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41" hidden="1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41" hidden="1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41" x14ac:dyDescent="0.3">
      <c r="A1305" s="4">
        <v>47</v>
      </c>
      <c r="B1305" s="4" t="s">
        <v>43</v>
      </c>
      <c r="C1305" s="4" t="s">
        <v>36</v>
      </c>
      <c r="D1305" s="4">
        <v>1001</v>
      </c>
      <c r="E1305" s="4" t="s">
        <v>45</v>
      </c>
      <c r="F1305" s="4">
        <v>4</v>
      </c>
      <c r="G1305" s="4">
        <v>3</v>
      </c>
      <c r="H1305" s="4" t="s">
        <v>38</v>
      </c>
      <c r="I1305" s="4">
        <v>1</v>
      </c>
      <c r="J1305" s="4">
        <v>1827</v>
      </c>
      <c r="K1305" s="4">
        <v>3</v>
      </c>
      <c r="L1305" s="4" t="s">
        <v>39</v>
      </c>
      <c r="M1305" s="4">
        <v>92</v>
      </c>
      <c r="N1305" s="4">
        <v>2</v>
      </c>
      <c r="O1305" s="4">
        <v>3</v>
      </c>
      <c r="P1305" s="4" t="s">
        <v>53</v>
      </c>
      <c r="Q1305" s="4">
        <v>2</v>
      </c>
      <c r="R1305" s="4" t="s">
        <v>52</v>
      </c>
      <c r="S1305" s="4">
        <v>10333</v>
      </c>
      <c r="T1305" s="4">
        <v>19271</v>
      </c>
      <c r="U1305" s="4">
        <v>8</v>
      </c>
      <c r="V1305" s="4" t="s">
        <v>42</v>
      </c>
      <c r="W1305" s="4" t="s">
        <v>35</v>
      </c>
      <c r="X1305" s="4">
        <v>12</v>
      </c>
      <c r="Y1305" s="4">
        <v>3</v>
      </c>
      <c r="Z1305" s="4">
        <v>3</v>
      </c>
      <c r="AA1305" s="4">
        <v>80</v>
      </c>
      <c r="AB1305" s="4">
        <v>1</v>
      </c>
      <c r="AC1305" s="4">
        <v>28</v>
      </c>
      <c r="AD1305" s="4">
        <v>4</v>
      </c>
      <c r="AE1305" s="4">
        <v>3</v>
      </c>
      <c r="AF1305" s="4">
        <v>22</v>
      </c>
      <c r="AG1305" s="4">
        <v>11</v>
      </c>
      <c r="AH1305" s="4">
        <v>14</v>
      </c>
      <c r="AI1305" s="4">
        <v>10</v>
      </c>
      <c r="AJ1305" s="4"/>
      <c r="AK1305" s="4"/>
      <c r="AL1305" s="4"/>
      <c r="AM1305" s="4"/>
      <c r="AN1305" s="4"/>
      <c r="AO1305" s="4"/>
    </row>
    <row r="1306" spans="1:41" hidden="1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41" hidden="1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41" hidden="1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41" hidden="1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41" x14ac:dyDescent="0.3">
      <c r="A1310" s="4">
        <v>38</v>
      </c>
      <c r="B1310" s="4" t="s">
        <v>43</v>
      </c>
      <c r="C1310" s="4" t="s">
        <v>36</v>
      </c>
      <c r="D1310" s="4">
        <v>723</v>
      </c>
      <c r="E1310" s="4" t="s">
        <v>37</v>
      </c>
      <c r="F1310" s="4">
        <v>2</v>
      </c>
      <c r="G1310" s="4">
        <v>4</v>
      </c>
      <c r="H1310" s="4" t="s">
        <v>59</v>
      </c>
      <c r="I1310" s="4">
        <v>1</v>
      </c>
      <c r="J1310" s="4">
        <v>1835</v>
      </c>
      <c r="K1310" s="4">
        <v>2</v>
      </c>
      <c r="L1310" s="4" t="s">
        <v>39</v>
      </c>
      <c r="M1310" s="4">
        <v>77</v>
      </c>
      <c r="N1310" s="4">
        <v>1</v>
      </c>
      <c r="O1310" s="4">
        <v>2</v>
      </c>
      <c r="P1310" s="4" t="s">
        <v>57</v>
      </c>
      <c r="Q1310" s="4">
        <v>4</v>
      </c>
      <c r="R1310" s="4" t="s">
        <v>48</v>
      </c>
      <c r="S1310" s="4">
        <v>5405</v>
      </c>
      <c r="T1310" s="4">
        <v>4244</v>
      </c>
      <c r="U1310" s="4">
        <v>2</v>
      </c>
      <c r="V1310" s="4" t="s">
        <v>42</v>
      </c>
      <c r="W1310" s="4" t="s">
        <v>35</v>
      </c>
      <c r="X1310" s="4">
        <v>20</v>
      </c>
      <c r="Y1310" s="4">
        <v>4</v>
      </c>
      <c r="Z1310" s="4">
        <v>1</v>
      </c>
      <c r="AA1310" s="4">
        <v>80</v>
      </c>
      <c r="AB1310" s="4">
        <v>2</v>
      </c>
      <c r="AC1310" s="4">
        <v>20</v>
      </c>
      <c r="AD1310" s="4">
        <v>4</v>
      </c>
      <c r="AE1310" s="4">
        <v>2</v>
      </c>
      <c r="AF1310" s="4">
        <v>4</v>
      </c>
      <c r="AG1310" s="4">
        <v>2</v>
      </c>
      <c r="AH1310" s="4">
        <v>0</v>
      </c>
      <c r="AI1310" s="4">
        <v>3</v>
      </c>
      <c r="AJ1310" s="4"/>
      <c r="AK1310" s="4"/>
      <c r="AL1310" s="4"/>
      <c r="AM1310" s="4"/>
      <c r="AN1310" s="4"/>
      <c r="AO1310" s="4"/>
    </row>
    <row r="1311" spans="1:41" hidden="1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41" x14ac:dyDescent="0.3">
      <c r="A1312" s="4">
        <v>58</v>
      </c>
      <c r="B1312" s="4" t="s">
        <v>43</v>
      </c>
      <c r="C1312" s="4" t="s">
        <v>44</v>
      </c>
      <c r="D1312" s="4">
        <v>1216</v>
      </c>
      <c r="E1312" s="4" t="s">
        <v>45</v>
      </c>
      <c r="F1312" s="4">
        <v>15</v>
      </c>
      <c r="G1312" s="4">
        <v>4</v>
      </c>
      <c r="H1312" s="4" t="s">
        <v>38</v>
      </c>
      <c r="I1312" s="4">
        <v>1</v>
      </c>
      <c r="J1312" s="4">
        <v>1837</v>
      </c>
      <c r="K1312" s="4">
        <v>1</v>
      </c>
      <c r="L1312" s="4" t="s">
        <v>46</v>
      </c>
      <c r="M1312" s="4">
        <v>87</v>
      </c>
      <c r="N1312" s="4">
        <v>3</v>
      </c>
      <c r="O1312" s="4">
        <v>4</v>
      </c>
      <c r="P1312" s="4" t="s">
        <v>58</v>
      </c>
      <c r="Q1312" s="4">
        <v>3</v>
      </c>
      <c r="R1312" s="4" t="s">
        <v>48</v>
      </c>
      <c r="S1312" s="4">
        <v>15787</v>
      </c>
      <c r="T1312" s="4">
        <v>21624</v>
      </c>
      <c r="U1312" s="4">
        <v>2</v>
      </c>
      <c r="V1312" s="4" t="s">
        <v>42</v>
      </c>
      <c r="W1312" s="4" t="s">
        <v>35</v>
      </c>
      <c r="X1312" s="4">
        <v>14</v>
      </c>
      <c r="Y1312" s="4">
        <v>3</v>
      </c>
      <c r="Z1312" s="4">
        <v>2</v>
      </c>
      <c r="AA1312" s="4">
        <v>80</v>
      </c>
      <c r="AB1312" s="4">
        <v>0</v>
      </c>
      <c r="AC1312" s="4">
        <v>23</v>
      </c>
      <c r="AD1312" s="4">
        <v>3</v>
      </c>
      <c r="AE1312" s="4">
        <v>3</v>
      </c>
      <c r="AF1312" s="4">
        <v>2</v>
      </c>
      <c r="AG1312" s="4">
        <v>2</v>
      </c>
      <c r="AH1312" s="4">
        <v>2</v>
      </c>
      <c r="AI1312" s="4">
        <v>2</v>
      </c>
      <c r="AJ1312" s="4"/>
      <c r="AK1312" s="4"/>
      <c r="AL1312" s="4"/>
      <c r="AM1312" s="4"/>
      <c r="AN1312" s="4"/>
      <c r="AO1312" s="4"/>
    </row>
    <row r="1313" spans="1:41" hidden="1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41" hidden="1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41" x14ac:dyDescent="0.3">
      <c r="A1315" s="4">
        <v>29</v>
      </c>
      <c r="B1315" s="4" t="s">
        <v>35</v>
      </c>
      <c r="C1315" s="4" t="s">
        <v>36</v>
      </c>
      <c r="D1315" s="4">
        <v>350</v>
      </c>
      <c r="E1315" s="4" t="s">
        <v>61</v>
      </c>
      <c r="F1315" s="4">
        <v>13</v>
      </c>
      <c r="G1315" s="4">
        <v>3</v>
      </c>
      <c r="H1315" s="4" t="s">
        <v>61</v>
      </c>
      <c r="I1315" s="4">
        <v>1</v>
      </c>
      <c r="J1315" s="4">
        <v>1844</v>
      </c>
      <c r="K1315" s="4">
        <v>1</v>
      </c>
      <c r="L1315" s="4" t="s">
        <v>46</v>
      </c>
      <c r="M1315" s="4">
        <v>56</v>
      </c>
      <c r="N1315" s="4">
        <v>2</v>
      </c>
      <c r="O1315" s="4">
        <v>1</v>
      </c>
      <c r="P1315" s="4" t="s">
        <v>61</v>
      </c>
      <c r="Q1315" s="4">
        <v>1</v>
      </c>
      <c r="R1315" s="4" t="s">
        <v>52</v>
      </c>
      <c r="S1315" s="4">
        <v>2335</v>
      </c>
      <c r="T1315" s="4">
        <v>3157</v>
      </c>
      <c r="U1315" s="4">
        <v>4</v>
      </c>
      <c r="V1315" s="4" t="s">
        <v>42</v>
      </c>
      <c r="W1315" s="4" t="s">
        <v>35</v>
      </c>
      <c r="X1315" s="4">
        <v>15</v>
      </c>
      <c r="Y1315" s="4">
        <v>3</v>
      </c>
      <c r="Z1315" s="4">
        <v>4</v>
      </c>
      <c r="AA1315" s="4">
        <v>80</v>
      </c>
      <c r="AB1315" s="4">
        <v>3</v>
      </c>
      <c r="AC1315" s="4">
        <v>4</v>
      </c>
      <c r="AD1315" s="4">
        <v>3</v>
      </c>
      <c r="AE1315" s="4">
        <v>3</v>
      </c>
      <c r="AF1315" s="4">
        <v>2</v>
      </c>
      <c r="AG1315" s="4">
        <v>2</v>
      </c>
      <c r="AH1315" s="4">
        <v>2</v>
      </c>
      <c r="AI1315" s="4">
        <v>0</v>
      </c>
      <c r="AJ1315" s="4"/>
      <c r="AK1315" s="4"/>
      <c r="AL1315" s="4"/>
      <c r="AM1315" s="4"/>
      <c r="AN1315" s="4"/>
      <c r="AO1315" s="4"/>
    </row>
    <row r="1316" spans="1:41" hidden="1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41" x14ac:dyDescent="0.3">
      <c r="A1317" s="4">
        <v>36</v>
      </c>
      <c r="B1317" s="4" t="s">
        <v>43</v>
      </c>
      <c r="C1317" s="4" t="s">
        <v>36</v>
      </c>
      <c r="D1317" s="4">
        <v>430</v>
      </c>
      <c r="E1317" s="4" t="s">
        <v>45</v>
      </c>
      <c r="F1317" s="4">
        <v>2</v>
      </c>
      <c r="G1317" s="4">
        <v>4</v>
      </c>
      <c r="H1317" s="4" t="s">
        <v>49</v>
      </c>
      <c r="I1317" s="4">
        <v>1</v>
      </c>
      <c r="J1317" s="4">
        <v>1847</v>
      </c>
      <c r="K1317" s="4">
        <v>4</v>
      </c>
      <c r="L1317" s="4" t="s">
        <v>39</v>
      </c>
      <c r="M1317" s="4">
        <v>73</v>
      </c>
      <c r="N1317" s="4">
        <v>3</v>
      </c>
      <c r="O1317" s="4">
        <v>2</v>
      </c>
      <c r="P1317" s="4" t="s">
        <v>47</v>
      </c>
      <c r="Q1317" s="4">
        <v>2</v>
      </c>
      <c r="R1317" s="4" t="s">
        <v>48</v>
      </c>
      <c r="S1317" s="4">
        <v>6962</v>
      </c>
      <c r="T1317" s="4">
        <v>19573</v>
      </c>
      <c r="U1317" s="4">
        <v>4</v>
      </c>
      <c r="V1317" s="4" t="s">
        <v>42</v>
      </c>
      <c r="W1317" s="4" t="s">
        <v>35</v>
      </c>
      <c r="X1317" s="4">
        <v>22</v>
      </c>
      <c r="Y1317" s="4">
        <v>4</v>
      </c>
      <c r="Z1317" s="4">
        <v>4</v>
      </c>
      <c r="AA1317" s="4">
        <v>80</v>
      </c>
      <c r="AB1317" s="4">
        <v>1</v>
      </c>
      <c r="AC1317" s="4">
        <v>15</v>
      </c>
      <c r="AD1317" s="4">
        <v>2</v>
      </c>
      <c r="AE1317" s="4">
        <v>3</v>
      </c>
      <c r="AF1317" s="4">
        <v>1</v>
      </c>
      <c r="AG1317" s="4">
        <v>0</v>
      </c>
      <c r="AH1317" s="4">
        <v>0</v>
      </c>
      <c r="AI1317" s="4">
        <v>0</v>
      </c>
      <c r="AJ1317" s="4"/>
      <c r="AK1317" s="4"/>
      <c r="AL1317" s="4"/>
      <c r="AM1317" s="4"/>
      <c r="AN1317" s="4"/>
      <c r="AO1317" s="4"/>
    </row>
    <row r="1318" spans="1:41" hidden="1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41" x14ac:dyDescent="0.3">
      <c r="A1319" s="4">
        <v>27</v>
      </c>
      <c r="B1319" s="4" t="s">
        <v>43</v>
      </c>
      <c r="C1319" s="4" t="s">
        <v>44</v>
      </c>
      <c r="D1319" s="4">
        <v>1297</v>
      </c>
      <c r="E1319" s="4" t="s">
        <v>45</v>
      </c>
      <c r="F1319" s="4">
        <v>5</v>
      </c>
      <c r="G1319" s="4">
        <v>2</v>
      </c>
      <c r="H1319" s="4" t="s">
        <v>38</v>
      </c>
      <c r="I1319" s="4">
        <v>1</v>
      </c>
      <c r="J1319" s="4">
        <v>1850</v>
      </c>
      <c r="K1319" s="4">
        <v>4</v>
      </c>
      <c r="L1319" s="4" t="s">
        <v>39</v>
      </c>
      <c r="M1319" s="4">
        <v>53</v>
      </c>
      <c r="N1319" s="4">
        <v>3</v>
      </c>
      <c r="O1319" s="4">
        <v>1</v>
      </c>
      <c r="P1319" s="4" t="s">
        <v>50</v>
      </c>
      <c r="Q1319" s="4">
        <v>4</v>
      </c>
      <c r="R1319" s="4" t="s">
        <v>41</v>
      </c>
      <c r="S1319" s="4">
        <v>2379</v>
      </c>
      <c r="T1319" s="4">
        <v>19826</v>
      </c>
      <c r="U1319" s="4">
        <v>0</v>
      </c>
      <c r="V1319" s="4" t="s">
        <v>42</v>
      </c>
      <c r="W1319" s="4" t="s">
        <v>35</v>
      </c>
      <c r="X1319" s="4">
        <v>14</v>
      </c>
      <c r="Y1319" s="4">
        <v>3</v>
      </c>
      <c r="Z1319" s="4">
        <v>3</v>
      </c>
      <c r="AA1319" s="4">
        <v>80</v>
      </c>
      <c r="AB1319" s="4">
        <v>0</v>
      </c>
      <c r="AC1319" s="4">
        <v>6</v>
      </c>
      <c r="AD1319" s="4">
        <v>3</v>
      </c>
      <c r="AE1319" s="4">
        <v>2</v>
      </c>
      <c r="AF1319" s="4">
        <v>5</v>
      </c>
      <c r="AG1319" s="4">
        <v>4</v>
      </c>
      <c r="AH1319" s="4">
        <v>0</v>
      </c>
      <c r="AI1319" s="4">
        <v>2</v>
      </c>
      <c r="AJ1319" s="4"/>
      <c r="AK1319" s="4"/>
      <c r="AL1319" s="4"/>
      <c r="AM1319" s="4"/>
      <c r="AN1319" s="4"/>
      <c r="AO1319" s="4"/>
    </row>
    <row r="1320" spans="1:41" hidden="1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41" hidden="1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41" hidden="1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41" hidden="1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41" hidden="1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41" hidden="1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41" hidden="1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41" hidden="1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41" x14ac:dyDescent="0.3">
      <c r="A1328" s="4">
        <v>32</v>
      </c>
      <c r="B1328" s="4" t="s">
        <v>35</v>
      </c>
      <c r="C1328" s="4" t="s">
        <v>36</v>
      </c>
      <c r="D1328" s="4">
        <v>414</v>
      </c>
      <c r="E1328" s="4" t="s">
        <v>37</v>
      </c>
      <c r="F1328" s="4">
        <v>2</v>
      </c>
      <c r="G1328" s="4">
        <v>4</v>
      </c>
      <c r="H1328" s="4" t="s">
        <v>59</v>
      </c>
      <c r="I1328" s="4">
        <v>1</v>
      </c>
      <c r="J1328" s="4">
        <v>1862</v>
      </c>
      <c r="K1328" s="4">
        <v>3</v>
      </c>
      <c r="L1328" s="4" t="s">
        <v>46</v>
      </c>
      <c r="M1328" s="4">
        <v>82</v>
      </c>
      <c r="N1328" s="4">
        <v>2</v>
      </c>
      <c r="O1328" s="4">
        <v>2</v>
      </c>
      <c r="P1328" s="4" t="s">
        <v>40</v>
      </c>
      <c r="Q1328" s="4">
        <v>2</v>
      </c>
      <c r="R1328" s="4" t="s">
        <v>41</v>
      </c>
      <c r="S1328" s="4">
        <v>9907</v>
      </c>
      <c r="T1328" s="4">
        <v>26186</v>
      </c>
      <c r="U1328" s="4">
        <v>7</v>
      </c>
      <c r="V1328" s="4" t="s">
        <v>42</v>
      </c>
      <c r="W1328" s="4" t="s">
        <v>35</v>
      </c>
      <c r="X1328" s="4">
        <v>12</v>
      </c>
      <c r="Y1328" s="4">
        <v>3</v>
      </c>
      <c r="Z1328" s="4">
        <v>3</v>
      </c>
      <c r="AA1328" s="4">
        <v>80</v>
      </c>
      <c r="AB1328" s="4">
        <v>0</v>
      </c>
      <c r="AC1328" s="4">
        <v>7</v>
      </c>
      <c r="AD1328" s="4">
        <v>3</v>
      </c>
      <c r="AE1328" s="4">
        <v>2</v>
      </c>
      <c r="AF1328" s="4">
        <v>2</v>
      </c>
      <c r="AG1328" s="4">
        <v>2</v>
      </c>
      <c r="AH1328" s="4">
        <v>2</v>
      </c>
      <c r="AI1328" s="4">
        <v>2</v>
      </c>
      <c r="AJ1328" s="4"/>
      <c r="AK1328" s="4"/>
      <c r="AL1328" s="4"/>
      <c r="AM1328" s="4"/>
      <c r="AN1328" s="4"/>
      <c r="AO1328" s="4"/>
    </row>
    <row r="1329" spans="1:41" hidden="1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41" hidden="1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41" hidden="1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41" hidden="1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41" hidden="1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41" x14ac:dyDescent="0.3">
      <c r="A1334" s="4">
        <v>29</v>
      </c>
      <c r="B1334" s="4" t="s">
        <v>35</v>
      </c>
      <c r="C1334" s="4" t="s">
        <v>44</v>
      </c>
      <c r="D1334" s="4">
        <v>459</v>
      </c>
      <c r="E1334" s="4" t="s">
        <v>45</v>
      </c>
      <c r="F1334" s="4">
        <v>24</v>
      </c>
      <c r="G1334" s="4">
        <v>2</v>
      </c>
      <c r="H1334" s="4" t="s">
        <v>38</v>
      </c>
      <c r="I1334" s="4">
        <v>1</v>
      </c>
      <c r="J1334" s="4">
        <v>1868</v>
      </c>
      <c r="K1334" s="4">
        <v>4</v>
      </c>
      <c r="L1334" s="4" t="s">
        <v>46</v>
      </c>
      <c r="M1334" s="4">
        <v>73</v>
      </c>
      <c r="N1334" s="4">
        <v>2</v>
      </c>
      <c r="O1334" s="4">
        <v>1</v>
      </c>
      <c r="P1334" s="4" t="s">
        <v>47</v>
      </c>
      <c r="Q1334" s="4">
        <v>4</v>
      </c>
      <c r="R1334" s="4" t="s">
        <v>41</v>
      </c>
      <c r="S1334" s="4">
        <v>2439</v>
      </c>
      <c r="T1334" s="4">
        <v>14753</v>
      </c>
      <c r="U1334" s="4">
        <v>1</v>
      </c>
      <c r="V1334" s="4" t="s">
        <v>42</v>
      </c>
      <c r="W1334" s="4" t="s">
        <v>35</v>
      </c>
      <c r="X1334" s="4">
        <v>24</v>
      </c>
      <c r="Y1334" s="4">
        <v>4</v>
      </c>
      <c r="Z1334" s="4">
        <v>2</v>
      </c>
      <c r="AA1334" s="4">
        <v>80</v>
      </c>
      <c r="AB1334" s="4">
        <v>0</v>
      </c>
      <c r="AC1334" s="4">
        <v>1</v>
      </c>
      <c r="AD1334" s="4">
        <v>3</v>
      </c>
      <c r="AE1334" s="4">
        <v>2</v>
      </c>
      <c r="AF1334" s="4">
        <v>1</v>
      </c>
      <c r="AG1334" s="4">
        <v>0</v>
      </c>
      <c r="AH1334" s="4">
        <v>1</v>
      </c>
      <c r="AI1334" s="4">
        <v>0</v>
      </c>
      <c r="AJ1334" s="4"/>
      <c r="AK1334" s="4"/>
      <c r="AL1334" s="4"/>
      <c r="AM1334" s="4"/>
      <c r="AN1334" s="4"/>
      <c r="AO1334" s="4"/>
    </row>
    <row r="1335" spans="1:41" hidden="1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41" hidden="1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41" hidden="1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41" hidden="1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41" hidden="1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41" hidden="1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41" x14ac:dyDescent="0.3">
      <c r="A1341" s="4">
        <v>22</v>
      </c>
      <c r="B1341" s="4" t="s">
        <v>35</v>
      </c>
      <c r="C1341" s="4" t="s">
        <v>36</v>
      </c>
      <c r="D1341" s="4">
        <v>391</v>
      </c>
      <c r="E1341" s="4" t="s">
        <v>45</v>
      </c>
      <c r="F1341" s="4">
        <v>7</v>
      </c>
      <c r="G1341" s="4">
        <v>1</v>
      </c>
      <c r="H1341" s="4" t="s">
        <v>38</v>
      </c>
      <c r="I1341" s="4">
        <v>1</v>
      </c>
      <c r="J1341" s="4">
        <v>1878</v>
      </c>
      <c r="K1341" s="4">
        <v>4</v>
      </c>
      <c r="L1341" s="4" t="s">
        <v>46</v>
      </c>
      <c r="M1341" s="4">
        <v>75</v>
      </c>
      <c r="N1341" s="4">
        <v>3</v>
      </c>
      <c r="O1341" s="4">
        <v>1</v>
      </c>
      <c r="P1341" s="4" t="s">
        <v>47</v>
      </c>
      <c r="Q1341" s="4">
        <v>2</v>
      </c>
      <c r="R1341" s="4" t="s">
        <v>41</v>
      </c>
      <c r="S1341" s="4">
        <v>2472</v>
      </c>
      <c r="T1341" s="4">
        <v>26092</v>
      </c>
      <c r="U1341" s="4">
        <v>1</v>
      </c>
      <c r="V1341" s="4" t="s">
        <v>42</v>
      </c>
      <c r="W1341" s="4" t="s">
        <v>35</v>
      </c>
      <c r="X1341" s="4">
        <v>23</v>
      </c>
      <c r="Y1341" s="4">
        <v>4</v>
      </c>
      <c r="Z1341" s="4">
        <v>1</v>
      </c>
      <c r="AA1341" s="4">
        <v>80</v>
      </c>
      <c r="AB1341" s="4">
        <v>0</v>
      </c>
      <c r="AC1341" s="4">
        <v>1</v>
      </c>
      <c r="AD1341" s="4">
        <v>2</v>
      </c>
      <c r="AE1341" s="4">
        <v>3</v>
      </c>
      <c r="AF1341" s="4">
        <v>1</v>
      </c>
      <c r="AG1341" s="4">
        <v>0</v>
      </c>
      <c r="AH1341" s="4">
        <v>0</v>
      </c>
      <c r="AI1341" s="4">
        <v>0</v>
      </c>
      <c r="AJ1341" s="4"/>
      <c r="AK1341" s="4"/>
      <c r="AL1341" s="4"/>
      <c r="AM1341" s="4"/>
      <c r="AN1341" s="4"/>
      <c r="AO1341" s="4"/>
    </row>
    <row r="1342" spans="1:41" x14ac:dyDescent="0.3">
      <c r="A1342" s="4">
        <v>36</v>
      </c>
      <c r="B1342" s="4" t="s">
        <v>43</v>
      </c>
      <c r="C1342" s="4" t="s">
        <v>36</v>
      </c>
      <c r="D1342" s="4">
        <v>1266</v>
      </c>
      <c r="E1342" s="4" t="s">
        <v>37</v>
      </c>
      <c r="F1342" s="4">
        <v>10</v>
      </c>
      <c r="G1342" s="4">
        <v>4</v>
      </c>
      <c r="H1342" s="4" t="s">
        <v>60</v>
      </c>
      <c r="I1342" s="4">
        <v>1</v>
      </c>
      <c r="J1342" s="4">
        <v>1880</v>
      </c>
      <c r="K1342" s="4">
        <v>2</v>
      </c>
      <c r="L1342" s="4" t="s">
        <v>39</v>
      </c>
      <c r="M1342" s="4">
        <v>63</v>
      </c>
      <c r="N1342" s="4">
        <v>2</v>
      </c>
      <c r="O1342" s="4">
        <v>2</v>
      </c>
      <c r="P1342" s="4" t="s">
        <v>40</v>
      </c>
      <c r="Q1342" s="4">
        <v>3</v>
      </c>
      <c r="R1342" s="4" t="s">
        <v>48</v>
      </c>
      <c r="S1342" s="4">
        <v>5673</v>
      </c>
      <c r="T1342" s="4">
        <v>6060</v>
      </c>
      <c r="U1342" s="4">
        <v>1</v>
      </c>
      <c r="V1342" s="4" t="s">
        <v>42</v>
      </c>
      <c r="W1342" s="4" t="s">
        <v>35</v>
      </c>
      <c r="X1342" s="4">
        <v>13</v>
      </c>
      <c r="Y1342" s="4">
        <v>3</v>
      </c>
      <c r="Z1342" s="4">
        <v>1</v>
      </c>
      <c r="AA1342" s="4">
        <v>80</v>
      </c>
      <c r="AB1342" s="4">
        <v>1</v>
      </c>
      <c r="AC1342" s="4">
        <v>10</v>
      </c>
      <c r="AD1342" s="4">
        <v>4</v>
      </c>
      <c r="AE1342" s="4">
        <v>3</v>
      </c>
      <c r="AF1342" s="4">
        <v>10</v>
      </c>
      <c r="AG1342" s="4">
        <v>9</v>
      </c>
      <c r="AH1342" s="4">
        <v>1</v>
      </c>
      <c r="AI1342" s="4">
        <v>7</v>
      </c>
      <c r="AJ1342" s="4"/>
      <c r="AK1342" s="4"/>
      <c r="AL1342" s="4"/>
      <c r="AM1342" s="4"/>
      <c r="AN1342" s="4"/>
      <c r="AO1342" s="4"/>
    </row>
    <row r="1343" spans="1:41" hidden="1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41" x14ac:dyDescent="0.3">
      <c r="A1344" s="4">
        <v>34</v>
      </c>
      <c r="B1344" s="4" t="s">
        <v>43</v>
      </c>
      <c r="C1344" s="4" t="s">
        <v>36</v>
      </c>
      <c r="D1344" s="4">
        <v>1480</v>
      </c>
      <c r="E1344" s="4" t="s">
        <v>37</v>
      </c>
      <c r="F1344" s="4">
        <v>4</v>
      </c>
      <c r="G1344" s="4">
        <v>3</v>
      </c>
      <c r="H1344" s="4" t="s">
        <v>38</v>
      </c>
      <c r="I1344" s="4">
        <v>1</v>
      </c>
      <c r="J1344" s="4">
        <v>1882</v>
      </c>
      <c r="K1344" s="4">
        <v>3</v>
      </c>
      <c r="L1344" s="4" t="s">
        <v>46</v>
      </c>
      <c r="M1344" s="4">
        <v>64</v>
      </c>
      <c r="N1344" s="4">
        <v>3</v>
      </c>
      <c r="O1344" s="4">
        <v>3</v>
      </c>
      <c r="P1344" s="4" t="s">
        <v>40</v>
      </c>
      <c r="Q1344" s="4">
        <v>4</v>
      </c>
      <c r="R1344" s="4" t="s">
        <v>48</v>
      </c>
      <c r="S1344" s="4">
        <v>9713</v>
      </c>
      <c r="T1344" s="4">
        <v>24444</v>
      </c>
      <c r="U1344" s="4">
        <v>2</v>
      </c>
      <c r="V1344" s="4" t="s">
        <v>42</v>
      </c>
      <c r="W1344" s="4" t="s">
        <v>35</v>
      </c>
      <c r="X1344" s="4">
        <v>13</v>
      </c>
      <c r="Y1344" s="4">
        <v>3</v>
      </c>
      <c r="Z1344" s="4">
        <v>4</v>
      </c>
      <c r="AA1344" s="4">
        <v>80</v>
      </c>
      <c r="AB1344" s="4">
        <v>3</v>
      </c>
      <c r="AC1344" s="4">
        <v>9</v>
      </c>
      <c r="AD1344" s="4">
        <v>3</v>
      </c>
      <c r="AE1344" s="4">
        <v>3</v>
      </c>
      <c r="AF1344" s="4">
        <v>5</v>
      </c>
      <c r="AG1344" s="4">
        <v>3</v>
      </c>
      <c r="AH1344" s="4">
        <v>1</v>
      </c>
      <c r="AI1344" s="4">
        <v>0</v>
      </c>
      <c r="AJ1344" s="4"/>
      <c r="AK1344" s="4"/>
      <c r="AL1344" s="4"/>
      <c r="AM1344" s="4"/>
      <c r="AN1344" s="4"/>
      <c r="AO1344" s="4"/>
    </row>
    <row r="1345" spans="1:41" hidden="1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41" x14ac:dyDescent="0.3">
      <c r="A1346" s="4">
        <v>37</v>
      </c>
      <c r="B1346" s="4" t="s">
        <v>43</v>
      </c>
      <c r="C1346" s="4" t="s">
        <v>36</v>
      </c>
      <c r="D1346" s="4">
        <v>783</v>
      </c>
      <c r="E1346" s="4" t="s">
        <v>45</v>
      </c>
      <c r="F1346" s="4">
        <v>7</v>
      </c>
      <c r="G1346" s="4">
        <v>4</v>
      </c>
      <c r="H1346" s="4" t="s">
        <v>51</v>
      </c>
      <c r="I1346" s="4">
        <v>1</v>
      </c>
      <c r="J1346" s="4">
        <v>1885</v>
      </c>
      <c r="K1346" s="4">
        <v>4</v>
      </c>
      <c r="L1346" s="4" t="s">
        <v>46</v>
      </c>
      <c r="M1346" s="4">
        <v>78</v>
      </c>
      <c r="N1346" s="4">
        <v>3</v>
      </c>
      <c r="O1346" s="4">
        <v>2</v>
      </c>
      <c r="P1346" s="4" t="s">
        <v>47</v>
      </c>
      <c r="Q1346" s="4">
        <v>1</v>
      </c>
      <c r="R1346" s="4" t="s">
        <v>48</v>
      </c>
      <c r="S1346" s="4">
        <v>4284</v>
      </c>
      <c r="T1346" s="4">
        <v>13588</v>
      </c>
      <c r="U1346" s="4">
        <v>5</v>
      </c>
      <c r="V1346" s="4" t="s">
        <v>42</v>
      </c>
      <c r="W1346" s="4" t="s">
        <v>35</v>
      </c>
      <c r="X1346" s="4">
        <v>22</v>
      </c>
      <c r="Y1346" s="4">
        <v>4</v>
      </c>
      <c r="Z1346" s="4">
        <v>3</v>
      </c>
      <c r="AA1346" s="4">
        <v>80</v>
      </c>
      <c r="AB1346" s="4">
        <v>1</v>
      </c>
      <c r="AC1346" s="4">
        <v>16</v>
      </c>
      <c r="AD1346" s="4">
        <v>2</v>
      </c>
      <c r="AE1346" s="4">
        <v>3</v>
      </c>
      <c r="AF1346" s="4">
        <v>5</v>
      </c>
      <c r="AG1346" s="4">
        <v>3</v>
      </c>
      <c r="AH1346" s="4">
        <v>0</v>
      </c>
      <c r="AI1346" s="4">
        <v>4</v>
      </c>
      <c r="AJ1346" s="4"/>
      <c r="AK1346" s="4"/>
      <c r="AL1346" s="4"/>
      <c r="AM1346" s="4"/>
      <c r="AN1346" s="4"/>
      <c r="AO1346" s="4"/>
    </row>
    <row r="1347" spans="1:41" x14ac:dyDescent="0.3">
      <c r="A1347" s="4">
        <v>35</v>
      </c>
      <c r="B1347" s="4" t="s">
        <v>43</v>
      </c>
      <c r="C1347" s="4" t="s">
        <v>36</v>
      </c>
      <c r="D1347" s="4">
        <v>219</v>
      </c>
      <c r="E1347" s="4" t="s">
        <v>45</v>
      </c>
      <c r="F1347" s="4">
        <v>16</v>
      </c>
      <c r="G1347" s="4">
        <v>2</v>
      </c>
      <c r="H1347" s="4" t="s">
        <v>49</v>
      </c>
      <c r="I1347" s="4">
        <v>1</v>
      </c>
      <c r="J1347" s="4">
        <v>1886</v>
      </c>
      <c r="K1347" s="4">
        <v>4</v>
      </c>
      <c r="L1347" s="4" t="s">
        <v>39</v>
      </c>
      <c r="M1347" s="4">
        <v>44</v>
      </c>
      <c r="N1347" s="4">
        <v>2</v>
      </c>
      <c r="O1347" s="4">
        <v>2</v>
      </c>
      <c r="P1347" s="4" t="s">
        <v>53</v>
      </c>
      <c r="Q1347" s="4">
        <v>2</v>
      </c>
      <c r="R1347" s="4" t="s">
        <v>48</v>
      </c>
      <c r="S1347" s="4">
        <v>4788</v>
      </c>
      <c r="T1347" s="4">
        <v>25388</v>
      </c>
      <c r="U1347" s="4">
        <v>0</v>
      </c>
      <c r="V1347" s="4" t="s">
        <v>42</v>
      </c>
      <c r="W1347" s="4" t="s">
        <v>35</v>
      </c>
      <c r="X1347" s="4">
        <v>11</v>
      </c>
      <c r="Y1347" s="4">
        <v>3</v>
      </c>
      <c r="Z1347" s="4">
        <v>4</v>
      </c>
      <c r="AA1347" s="4">
        <v>80</v>
      </c>
      <c r="AB1347" s="4">
        <v>0</v>
      </c>
      <c r="AC1347" s="4">
        <v>4</v>
      </c>
      <c r="AD1347" s="4">
        <v>2</v>
      </c>
      <c r="AE1347" s="4">
        <v>3</v>
      </c>
      <c r="AF1347" s="4">
        <v>3</v>
      </c>
      <c r="AG1347" s="4">
        <v>2</v>
      </c>
      <c r="AH1347" s="4">
        <v>0</v>
      </c>
      <c r="AI1347" s="4">
        <v>2</v>
      </c>
      <c r="AJ1347" s="4"/>
      <c r="AK1347" s="4"/>
      <c r="AL1347" s="4"/>
      <c r="AM1347" s="4"/>
      <c r="AN1347" s="4"/>
      <c r="AO1347" s="4"/>
    </row>
    <row r="1348" spans="1:41" hidden="1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41" hidden="1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41" hidden="1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41" x14ac:dyDescent="0.3">
      <c r="A1351" s="4">
        <v>26</v>
      </c>
      <c r="B1351" s="4" t="s">
        <v>43</v>
      </c>
      <c r="C1351" s="4" t="s">
        <v>36</v>
      </c>
      <c r="D1351" s="4">
        <v>482</v>
      </c>
      <c r="E1351" s="4" t="s">
        <v>45</v>
      </c>
      <c r="F1351" s="4">
        <v>1</v>
      </c>
      <c r="G1351" s="4">
        <v>2</v>
      </c>
      <c r="H1351" s="4" t="s">
        <v>38</v>
      </c>
      <c r="I1351" s="4">
        <v>1</v>
      </c>
      <c r="J1351" s="4">
        <v>1893</v>
      </c>
      <c r="K1351" s="4">
        <v>2</v>
      </c>
      <c r="L1351" s="4" t="s">
        <v>39</v>
      </c>
      <c r="M1351" s="4">
        <v>90</v>
      </c>
      <c r="N1351" s="4">
        <v>2</v>
      </c>
      <c r="O1351" s="4">
        <v>1</v>
      </c>
      <c r="P1351" s="4" t="s">
        <v>47</v>
      </c>
      <c r="Q1351" s="4">
        <v>3</v>
      </c>
      <c r="R1351" s="4" t="s">
        <v>48</v>
      </c>
      <c r="S1351" s="4">
        <v>2933</v>
      </c>
      <c r="T1351" s="4">
        <v>14908</v>
      </c>
      <c r="U1351" s="4">
        <v>1</v>
      </c>
      <c r="V1351" s="4" t="s">
        <v>42</v>
      </c>
      <c r="W1351" s="4" t="s">
        <v>35</v>
      </c>
      <c r="X1351" s="4">
        <v>13</v>
      </c>
      <c r="Y1351" s="4">
        <v>3</v>
      </c>
      <c r="Z1351" s="4">
        <v>3</v>
      </c>
      <c r="AA1351" s="4">
        <v>80</v>
      </c>
      <c r="AB1351" s="4">
        <v>1</v>
      </c>
      <c r="AC1351" s="4">
        <v>1</v>
      </c>
      <c r="AD1351" s="4">
        <v>3</v>
      </c>
      <c r="AE1351" s="4">
        <v>2</v>
      </c>
      <c r="AF1351" s="4">
        <v>1</v>
      </c>
      <c r="AG1351" s="4">
        <v>0</v>
      </c>
      <c r="AH1351" s="4">
        <v>1</v>
      </c>
      <c r="AI1351" s="4">
        <v>0</v>
      </c>
      <c r="AJ1351" s="4"/>
      <c r="AK1351" s="4"/>
      <c r="AL1351" s="4"/>
      <c r="AM1351" s="4"/>
      <c r="AN1351" s="4"/>
      <c r="AO1351" s="4"/>
    </row>
    <row r="1352" spans="1:41" hidden="1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41" hidden="1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41" hidden="1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41" x14ac:dyDescent="0.3">
      <c r="A1355" s="4">
        <v>34</v>
      </c>
      <c r="B1355" s="4" t="s">
        <v>35</v>
      </c>
      <c r="C1355" s="4" t="s">
        <v>55</v>
      </c>
      <c r="D1355" s="4">
        <v>967</v>
      </c>
      <c r="E1355" s="4" t="s">
        <v>45</v>
      </c>
      <c r="F1355" s="4">
        <v>16</v>
      </c>
      <c r="G1355" s="4">
        <v>4</v>
      </c>
      <c r="H1355" s="4" t="s">
        <v>60</v>
      </c>
      <c r="I1355" s="4">
        <v>1</v>
      </c>
      <c r="J1355" s="4">
        <v>1905</v>
      </c>
      <c r="K1355" s="4">
        <v>4</v>
      </c>
      <c r="L1355" s="4" t="s">
        <v>46</v>
      </c>
      <c r="M1355" s="4">
        <v>85</v>
      </c>
      <c r="N1355" s="4">
        <v>1</v>
      </c>
      <c r="O1355" s="4">
        <v>1</v>
      </c>
      <c r="P1355" s="4" t="s">
        <v>47</v>
      </c>
      <c r="Q1355" s="4">
        <v>1</v>
      </c>
      <c r="R1355" s="4" t="s">
        <v>48</v>
      </c>
      <c r="S1355" s="4">
        <v>2307</v>
      </c>
      <c r="T1355" s="4">
        <v>14460</v>
      </c>
      <c r="U1355" s="4">
        <v>1</v>
      </c>
      <c r="V1355" s="4" t="s">
        <v>42</v>
      </c>
      <c r="W1355" s="4" t="s">
        <v>35</v>
      </c>
      <c r="X1355" s="4">
        <v>23</v>
      </c>
      <c r="Y1355" s="4">
        <v>4</v>
      </c>
      <c r="Z1355" s="4">
        <v>2</v>
      </c>
      <c r="AA1355" s="4">
        <v>80</v>
      </c>
      <c r="AB1355" s="4">
        <v>1</v>
      </c>
      <c r="AC1355" s="4">
        <v>5</v>
      </c>
      <c r="AD1355" s="4">
        <v>2</v>
      </c>
      <c r="AE1355" s="4">
        <v>3</v>
      </c>
      <c r="AF1355" s="4">
        <v>5</v>
      </c>
      <c r="AG1355" s="4">
        <v>2</v>
      </c>
      <c r="AH1355" s="4">
        <v>3</v>
      </c>
      <c r="AI1355" s="4">
        <v>0</v>
      </c>
      <c r="AJ1355" s="4"/>
      <c r="AK1355" s="4"/>
      <c r="AL1355" s="4"/>
      <c r="AM1355" s="4"/>
      <c r="AN1355" s="4"/>
      <c r="AO1355" s="4"/>
    </row>
    <row r="1356" spans="1:41" hidden="1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41" hidden="1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41" hidden="1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41" hidden="1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41" x14ac:dyDescent="0.3">
      <c r="A1360" s="4">
        <v>31</v>
      </c>
      <c r="B1360" s="4" t="s">
        <v>43</v>
      </c>
      <c r="C1360" s="4" t="s">
        <v>36</v>
      </c>
      <c r="D1360" s="4">
        <v>1079</v>
      </c>
      <c r="E1360" s="4" t="s">
        <v>37</v>
      </c>
      <c r="F1360" s="4">
        <v>10</v>
      </c>
      <c r="G1360" s="4">
        <v>2</v>
      </c>
      <c r="H1360" s="4" t="s">
        <v>51</v>
      </c>
      <c r="I1360" s="4">
        <v>1</v>
      </c>
      <c r="J1360" s="4">
        <v>1912</v>
      </c>
      <c r="K1360" s="4">
        <v>3</v>
      </c>
      <c r="L1360" s="4" t="s">
        <v>39</v>
      </c>
      <c r="M1360" s="4">
        <v>86</v>
      </c>
      <c r="N1360" s="4">
        <v>3</v>
      </c>
      <c r="O1360" s="4">
        <v>2</v>
      </c>
      <c r="P1360" s="4" t="s">
        <v>40</v>
      </c>
      <c r="Q1360" s="4">
        <v>4</v>
      </c>
      <c r="R1360" s="4" t="s">
        <v>52</v>
      </c>
      <c r="S1360" s="4">
        <v>6583</v>
      </c>
      <c r="T1360" s="4">
        <v>20115</v>
      </c>
      <c r="U1360" s="4">
        <v>2</v>
      </c>
      <c r="V1360" s="4" t="s">
        <v>42</v>
      </c>
      <c r="W1360" s="4" t="s">
        <v>35</v>
      </c>
      <c r="X1360" s="4">
        <v>11</v>
      </c>
      <c r="Y1360" s="4">
        <v>3</v>
      </c>
      <c r="Z1360" s="4">
        <v>4</v>
      </c>
      <c r="AA1360" s="4">
        <v>80</v>
      </c>
      <c r="AB1360" s="4">
        <v>1</v>
      </c>
      <c r="AC1360" s="4">
        <v>8</v>
      </c>
      <c r="AD1360" s="4">
        <v>2</v>
      </c>
      <c r="AE1360" s="4">
        <v>3</v>
      </c>
      <c r="AF1360" s="4">
        <v>5</v>
      </c>
      <c r="AG1360" s="4">
        <v>2</v>
      </c>
      <c r="AH1360" s="4">
        <v>1</v>
      </c>
      <c r="AI1360" s="4">
        <v>4</v>
      </c>
      <c r="AJ1360" s="4"/>
      <c r="AK1360" s="4"/>
      <c r="AL1360" s="4"/>
      <c r="AM1360" s="4"/>
      <c r="AN1360" s="4"/>
      <c r="AO1360" s="4"/>
    </row>
    <row r="1361" spans="1:41" x14ac:dyDescent="0.3">
      <c r="A1361" s="4">
        <v>34</v>
      </c>
      <c r="B1361" s="4" t="s">
        <v>43</v>
      </c>
      <c r="C1361" s="4" t="s">
        <v>36</v>
      </c>
      <c r="D1361" s="4">
        <v>735</v>
      </c>
      <c r="E1361" s="4" t="s">
        <v>37</v>
      </c>
      <c r="F1361" s="4">
        <v>3</v>
      </c>
      <c r="G1361" s="4">
        <v>1</v>
      </c>
      <c r="H1361" s="4" t="s">
        <v>51</v>
      </c>
      <c r="I1361" s="4">
        <v>1</v>
      </c>
      <c r="J1361" s="4">
        <v>1915</v>
      </c>
      <c r="K1361" s="4">
        <v>4</v>
      </c>
      <c r="L1361" s="4" t="s">
        <v>39</v>
      </c>
      <c r="M1361" s="4">
        <v>75</v>
      </c>
      <c r="N1361" s="4">
        <v>2</v>
      </c>
      <c r="O1361" s="4">
        <v>2</v>
      </c>
      <c r="P1361" s="4" t="s">
        <v>40</v>
      </c>
      <c r="Q1361" s="4">
        <v>4</v>
      </c>
      <c r="R1361" s="4" t="s">
        <v>48</v>
      </c>
      <c r="S1361" s="4">
        <v>8103</v>
      </c>
      <c r="T1361" s="4">
        <v>16495</v>
      </c>
      <c r="U1361" s="4">
        <v>3</v>
      </c>
      <c r="V1361" s="4" t="s">
        <v>42</v>
      </c>
      <c r="W1361" s="4" t="s">
        <v>35</v>
      </c>
      <c r="X1361" s="4">
        <v>12</v>
      </c>
      <c r="Y1361" s="4">
        <v>3</v>
      </c>
      <c r="Z1361" s="4">
        <v>3</v>
      </c>
      <c r="AA1361" s="4">
        <v>80</v>
      </c>
      <c r="AB1361" s="4">
        <v>0</v>
      </c>
      <c r="AC1361" s="4">
        <v>9</v>
      </c>
      <c r="AD1361" s="4">
        <v>3</v>
      </c>
      <c r="AE1361" s="4">
        <v>2</v>
      </c>
      <c r="AF1361" s="4">
        <v>4</v>
      </c>
      <c r="AG1361" s="4">
        <v>2</v>
      </c>
      <c r="AH1361" s="4">
        <v>0</v>
      </c>
      <c r="AI1361" s="4">
        <v>1</v>
      </c>
      <c r="AJ1361" s="4"/>
      <c r="AK1361" s="4"/>
      <c r="AL1361" s="4"/>
      <c r="AM1361" s="4"/>
      <c r="AN1361" s="4"/>
      <c r="AO1361" s="4"/>
    </row>
    <row r="1362" spans="1:41" hidden="1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41" hidden="1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41" hidden="1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41" hidden="1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41" x14ac:dyDescent="0.3">
      <c r="A1366" s="4">
        <v>28</v>
      </c>
      <c r="B1366" s="4" t="s">
        <v>43</v>
      </c>
      <c r="C1366" s="4" t="s">
        <v>44</v>
      </c>
      <c r="D1366" s="4">
        <v>783</v>
      </c>
      <c r="E1366" s="4" t="s">
        <v>37</v>
      </c>
      <c r="F1366" s="4">
        <v>1</v>
      </c>
      <c r="G1366" s="4">
        <v>2</v>
      </c>
      <c r="H1366" s="4" t="s">
        <v>38</v>
      </c>
      <c r="I1366" s="4">
        <v>1</v>
      </c>
      <c r="J1366" s="4">
        <v>1927</v>
      </c>
      <c r="K1366" s="4">
        <v>3</v>
      </c>
      <c r="L1366" s="4" t="s">
        <v>46</v>
      </c>
      <c r="M1366" s="4">
        <v>42</v>
      </c>
      <c r="N1366" s="4">
        <v>2</v>
      </c>
      <c r="O1366" s="4">
        <v>2</v>
      </c>
      <c r="P1366" s="4" t="s">
        <v>40</v>
      </c>
      <c r="Q1366" s="4">
        <v>4</v>
      </c>
      <c r="R1366" s="4" t="s">
        <v>48</v>
      </c>
      <c r="S1366" s="4">
        <v>6834</v>
      </c>
      <c r="T1366" s="4">
        <v>19255</v>
      </c>
      <c r="U1366" s="4">
        <v>1</v>
      </c>
      <c r="V1366" s="4" t="s">
        <v>42</v>
      </c>
      <c r="W1366" s="4" t="s">
        <v>35</v>
      </c>
      <c r="X1366" s="4">
        <v>12</v>
      </c>
      <c r="Y1366" s="4">
        <v>3</v>
      </c>
      <c r="Z1366" s="4">
        <v>3</v>
      </c>
      <c r="AA1366" s="4">
        <v>80</v>
      </c>
      <c r="AB1366" s="4">
        <v>1</v>
      </c>
      <c r="AC1366" s="4">
        <v>7</v>
      </c>
      <c r="AD1366" s="4">
        <v>2</v>
      </c>
      <c r="AE1366" s="4">
        <v>3</v>
      </c>
      <c r="AF1366" s="4">
        <v>7</v>
      </c>
      <c r="AG1366" s="4">
        <v>7</v>
      </c>
      <c r="AH1366" s="4">
        <v>0</v>
      </c>
      <c r="AI1366" s="4">
        <v>7</v>
      </c>
      <c r="AJ1366" s="4"/>
      <c r="AK1366" s="4"/>
      <c r="AL1366" s="4"/>
      <c r="AM1366" s="4"/>
      <c r="AN1366" s="4"/>
      <c r="AO1366" s="4"/>
    </row>
    <row r="1367" spans="1:41" hidden="1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41" hidden="1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41" hidden="1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41" x14ac:dyDescent="0.3">
      <c r="A1370" s="4">
        <v>34</v>
      </c>
      <c r="B1370" s="4" t="s">
        <v>43</v>
      </c>
      <c r="C1370" s="4" t="s">
        <v>44</v>
      </c>
      <c r="D1370" s="4">
        <v>735</v>
      </c>
      <c r="E1370" s="4" t="s">
        <v>45</v>
      </c>
      <c r="F1370" s="4">
        <v>22</v>
      </c>
      <c r="G1370" s="4">
        <v>4</v>
      </c>
      <c r="H1370" s="4" t="s">
        <v>49</v>
      </c>
      <c r="I1370" s="4">
        <v>1</v>
      </c>
      <c r="J1370" s="4">
        <v>1932</v>
      </c>
      <c r="K1370" s="4">
        <v>3</v>
      </c>
      <c r="L1370" s="4" t="s">
        <v>46</v>
      </c>
      <c r="M1370" s="4">
        <v>86</v>
      </c>
      <c r="N1370" s="4">
        <v>2</v>
      </c>
      <c r="O1370" s="4">
        <v>2</v>
      </c>
      <c r="P1370" s="4" t="s">
        <v>47</v>
      </c>
      <c r="Q1370" s="4">
        <v>4</v>
      </c>
      <c r="R1370" s="4" t="s">
        <v>48</v>
      </c>
      <c r="S1370" s="4">
        <v>5747</v>
      </c>
      <c r="T1370" s="4">
        <v>26496</v>
      </c>
      <c r="U1370" s="4">
        <v>1</v>
      </c>
      <c r="V1370" s="4" t="s">
        <v>42</v>
      </c>
      <c r="W1370" s="4" t="s">
        <v>35</v>
      </c>
      <c r="X1370" s="4">
        <v>15</v>
      </c>
      <c r="Y1370" s="4">
        <v>3</v>
      </c>
      <c r="Z1370" s="4">
        <v>2</v>
      </c>
      <c r="AA1370" s="4">
        <v>80</v>
      </c>
      <c r="AB1370" s="4">
        <v>0</v>
      </c>
      <c r="AC1370" s="4">
        <v>16</v>
      </c>
      <c r="AD1370" s="4">
        <v>3</v>
      </c>
      <c r="AE1370" s="4">
        <v>3</v>
      </c>
      <c r="AF1370" s="4">
        <v>15</v>
      </c>
      <c r="AG1370" s="4">
        <v>10</v>
      </c>
      <c r="AH1370" s="4">
        <v>6</v>
      </c>
      <c r="AI1370" s="4">
        <v>11</v>
      </c>
      <c r="AJ1370" s="4"/>
      <c r="AK1370" s="4"/>
      <c r="AL1370" s="4"/>
      <c r="AM1370" s="4"/>
      <c r="AN1370" s="4"/>
      <c r="AO1370" s="4"/>
    </row>
    <row r="1371" spans="1:41" x14ac:dyDescent="0.3">
      <c r="A1371" s="4">
        <v>28</v>
      </c>
      <c r="B1371" s="4" t="s">
        <v>35</v>
      </c>
      <c r="C1371" s="4" t="s">
        <v>36</v>
      </c>
      <c r="D1371" s="4">
        <v>1475</v>
      </c>
      <c r="E1371" s="4" t="s">
        <v>37</v>
      </c>
      <c r="F1371" s="4">
        <v>13</v>
      </c>
      <c r="G1371" s="4">
        <v>2</v>
      </c>
      <c r="H1371" s="4" t="s">
        <v>59</v>
      </c>
      <c r="I1371" s="4">
        <v>1</v>
      </c>
      <c r="J1371" s="4">
        <v>1933</v>
      </c>
      <c r="K1371" s="4">
        <v>4</v>
      </c>
      <c r="L1371" s="4" t="s">
        <v>39</v>
      </c>
      <c r="M1371" s="4">
        <v>84</v>
      </c>
      <c r="N1371" s="4">
        <v>3</v>
      </c>
      <c r="O1371" s="4">
        <v>2</v>
      </c>
      <c r="P1371" s="4" t="s">
        <v>40</v>
      </c>
      <c r="Q1371" s="4">
        <v>3</v>
      </c>
      <c r="R1371" s="4" t="s">
        <v>41</v>
      </c>
      <c r="S1371" s="4">
        <v>9854</v>
      </c>
      <c r="T1371" s="4">
        <v>23352</v>
      </c>
      <c r="U1371" s="4">
        <v>3</v>
      </c>
      <c r="V1371" s="4" t="s">
        <v>42</v>
      </c>
      <c r="W1371" s="4" t="s">
        <v>35</v>
      </c>
      <c r="X1371" s="4">
        <v>11</v>
      </c>
      <c r="Y1371" s="4">
        <v>3</v>
      </c>
      <c r="Z1371" s="4">
        <v>4</v>
      </c>
      <c r="AA1371" s="4">
        <v>80</v>
      </c>
      <c r="AB1371" s="4">
        <v>0</v>
      </c>
      <c r="AC1371" s="4">
        <v>6</v>
      </c>
      <c r="AD1371" s="4">
        <v>0</v>
      </c>
      <c r="AE1371" s="4">
        <v>3</v>
      </c>
      <c r="AF1371" s="4">
        <v>2</v>
      </c>
      <c r="AG1371" s="4">
        <v>0</v>
      </c>
      <c r="AH1371" s="4">
        <v>2</v>
      </c>
      <c r="AI1371" s="4">
        <v>2</v>
      </c>
      <c r="AJ1371" s="4"/>
      <c r="AK1371" s="4"/>
      <c r="AL1371" s="4"/>
      <c r="AM1371" s="4"/>
      <c r="AN1371" s="4"/>
      <c r="AO1371" s="4"/>
    </row>
    <row r="1372" spans="1:41" hidden="1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41" hidden="1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41" hidden="1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41" x14ac:dyDescent="0.3">
      <c r="A1375" s="4">
        <v>38</v>
      </c>
      <c r="B1375" s="4" t="s">
        <v>43</v>
      </c>
      <c r="C1375" s="4" t="s">
        <v>44</v>
      </c>
      <c r="D1375" s="4">
        <v>1394</v>
      </c>
      <c r="E1375" s="4" t="s">
        <v>45</v>
      </c>
      <c r="F1375" s="4">
        <v>8</v>
      </c>
      <c r="G1375" s="4">
        <v>3</v>
      </c>
      <c r="H1375" s="4" t="s">
        <v>51</v>
      </c>
      <c r="I1375" s="4">
        <v>1</v>
      </c>
      <c r="J1375" s="4">
        <v>1937</v>
      </c>
      <c r="K1375" s="4">
        <v>4</v>
      </c>
      <c r="L1375" s="4" t="s">
        <v>39</v>
      </c>
      <c r="M1375" s="4">
        <v>58</v>
      </c>
      <c r="N1375" s="4">
        <v>2</v>
      </c>
      <c r="O1375" s="4">
        <v>2</v>
      </c>
      <c r="P1375" s="4" t="s">
        <v>47</v>
      </c>
      <c r="Q1375" s="4">
        <v>2</v>
      </c>
      <c r="R1375" s="4" t="s">
        <v>52</v>
      </c>
      <c r="S1375" s="4">
        <v>2133</v>
      </c>
      <c r="T1375" s="4">
        <v>18115</v>
      </c>
      <c r="U1375" s="4">
        <v>1</v>
      </c>
      <c r="V1375" s="4" t="s">
        <v>42</v>
      </c>
      <c r="W1375" s="4" t="s">
        <v>35</v>
      </c>
      <c r="X1375" s="4">
        <v>16</v>
      </c>
      <c r="Y1375" s="4">
        <v>3</v>
      </c>
      <c r="Z1375" s="4">
        <v>3</v>
      </c>
      <c r="AA1375" s="4">
        <v>80</v>
      </c>
      <c r="AB1375" s="4">
        <v>1</v>
      </c>
      <c r="AC1375" s="4">
        <v>20</v>
      </c>
      <c r="AD1375" s="4">
        <v>3</v>
      </c>
      <c r="AE1375" s="4">
        <v>3</v>
      </c>
      <c r="AF1375" s="4">
        <v>20</v>
      </c>
      <c r="AG1375" s="4">
        <v>11</v>
      </c>
      <c r="AH1375" s="4">
        <v>0</v>
      </c>
      <c r="AI1375" s="4">
        <v>7</v>
      </c>
      <c r="AJ1375" s="4"/>
      <c r="AK1375" s="4"/>
      <c r="AL1375" s="4"/>
      <c r="AM1375" s="4"/>
      <c r="AN1375" s="4"/>
      <c r="AO1375" s="4"/>
    </row>
    <row r="1376" spans="1:41" x14ac:dyDescent="0.3">
      <c r="A1376" s="4">
        <v>58</v>
      </c>
      <c r="B1376" s="4" t="s">
        <v>43</v>
      </c>
      <c r="C1376" s="4" t="s">
        <v>36</v>
      </c>
      <c r="D1376" s="4">
        <v>605</v>
      </c>
      <c r="E1376" s="4" t="s">
        <v>37</v>
      </c>
      <c r="F1376" s="4">
        <v>21</v>
      </c>
      <c r="G1376" s="4">
        <v>3</v>
      </c>
      <c r="H1376" s="4" t="s">
        <v>38</v>
      </c>
      <c r="I1376" s="4">
        <v>1</v>
      </c>
      <c r="J1376" s="4">
        <v>1938</v>
      </c>
      <c r="K1376" s="4">
        <v>4</v>
      </c>
      <c r="L1376" s="4" t="s">
        <v>39</v>
      </c>
      <c r="M1376" s="4">
        <v>72</v>
      </c>
      <c r="N1376" s="4">
        <v>3</v>
      </c>
      <c r="O1376" s="4">
        <v>4</v>
      </c>
      <c r="P1376" s="4" t="s">
        <v>56</v>
      </c>
      <c r="Q1376" s="4">
        <v>4</v>
      </c>
      <c r="R1376" s="4" t="s">
        <v>48</v>
      </c>
      <c r="S1376" s="4">
        <v>17875</v>
      </c>
      <c r="T1376" s="4">
        <v>11761</v>
      </c>
      <c r="U1376" s="4">
        <v>4</v>
      </c>
      <c r="V1376" s="4" t="s">
        <v>42</v>
      </c>
      <c r="W1376" s="4" t="s">
        <v>35</v>
      </c>
      <c r="X1376" s="4">
        <v>13</v>
      </c>
      <c r="Y1376" s="4">
        <v>3</v>
      </c>
      <c r="Z1376" s="4">
        <v>3</v>
      </c>
      <c r="AA1376" s="4">
        <v>80</v>
      </c>
      <c r="AB1376" s="4">
        <v>1</v>
      </c>
      <c r="AC1376" s="4">
        <v>29</v>
      </c>
      <c r="AD1376" s="4">
        <v>2</v>
      </c>
      <c r="AE1376" s="4">
        <v>2</v>
      </c>
      <c r="AF1376" s="4">
        <v>1</v>
      </c>
      <c r="AG1376" s="4">
        <v>0</v>
      </c>
      <c r="AH1376" s="4">
        <v>0</v>
      </c>
      <c r="AI1376" s="4">
        <v>0</v>
      </c>
      <c r="AJ1376" s="4"/>
      <c r="AK1376" s="4"/>
      <c r="AL1376" s="4"/>
      <c r="AM1376" s="4"/>
      <c r="AN1376" s="4"/>
      <c r="AO1376" s="4"/>
    </row>
    <row r="1377" spans="1:41" x14ac:dyDescent="0.3">
      <c r="A1377" s="4">
        <v>32</v>
      </c>
      <c r="B1377" s="4" t="s">
        <v>35</v>
      </c>
      <c r="C1377" s="4" t="s">
        <v>44</v>
      </c>
      <c r="D1377" s="4">
        <v>238</v>
      </c>
      <c r="E1377" s="4" t="s">
        <v>45</v>
      </c>
      <c r="F1377" s="4">
        <v>5</v>
      </c>
      <c r="G1377" s="4">
        <v>2</v>
      </c>
      <c r="H1377" s="4" t="s">
        <v>38</v>
      </c>
      <c r="I1377" s="4">
        <v>1</v>
      </c>
      <c r="J1377" s="4">
        <v>1939</v>
      </c>
      <c r="K1377" s="4">
        <v>1</v>
      </c>
      <c r="L1377" s="4" t="s">
        <v>39</v>
      </c>
      <c r="M1377" s="4">
        <v>47</v>
      </c>
      <c r="N1377" s="4">
        <v>4</v>
      </c>
      <c r="O1377" s="4">
        <v>1</v>
      </c>
      <c r="P1377" s="4" t="s">
        <v>47</v>
      </c>
      <c r="Q1377" s="4">
        <v>3</v>
      </c>
      <c r="R1377" s="4" t="s">
        <v>41</v>
      </c>
      <c r="S1377" s="4">
        <v>2432</v>
      </c>
      <c r="T1377" s="4">
        <v>15318</v>
      </c>
      <c r="U1377" s="4">
        <v>3</v>
      </c>
      <c r="V1377" s="4" t="s">
        <v>42</v>
      </c>
      <c r="W1377" s="4" t="s">
        <v>35</v>
      </c>
      <c r="X1377" s="4">
        <v>14</v>
      </c>
      <c r="Y1377" s="4">
        <v>3</v>
      </c>
      <c r="Z1377" s="4">
        <v>1</v>
      </c>
      <c r="AA1377" s="4">
        <v>80</v>
      </c>
      <c r="AB1377" s="4">
        <v>0</v>
      </c>
      <c r="AC1377" s="4">
        <v>8</v>
      </c>
      <c r="AD1377" s="4">
        <v>2</v>
      </c>
      <c r="AE1377" s="4">
        <v>3</v>
      </c>
      <c r="AF1377" s="4">
        <v>4</v>
      </c>
      <c r="AG1377" s="4">
        <v>1</v>
      </c>
      <c r="AH1377" s="4">
        <v>0</v>
      </c>
      <c r="AI1377" s="4">
        <v>3</v>
      </c>
      <c r="AJ1377" s="4"/>
      <c r="AK1377" s="4"/>
      <c r="AL1377" s="4"/>
      <c r="AM1377" s="4"/>
      <c r="AN1377" s="4"/>
      <c r="AO1377" s="4"/>
    </row>
    <row r="1378" spans="1:41" hidden="1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41" hidden="1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41" x14ac:dyDescent="0.3">
      <c r="A1380" s="4">
        <v>42</v>
      </c>
      <c r="B1380" s="4" t="s">
        <v>43</v>
      </c>
      <c r="C1380" s="4" t="s">
        <v>36</v>
      </c>
      <c r="D1380" s="4">
        <v>419</v>
      </c>
      <c r="E1380" s="4" t="s">
        <v>37</v>
      </c>
      <c r="F1380" s="4">
        <v>12</v>
      </c>
      <c r="G1380" s="4">
        <v>4</v>
      </c>
      <c r="H1380" s="4" t="s">
        <v>59</v>
      </c>
      <c r="I1380" s="4">
        <v>1</v>
      </c>
      <c r="J1380" s="4">
        <v>1943</v>
      </c>
      <c r="K1380" s="4">
        <v>2</v>
      </c>
      <c r="L1380" s="4" t="s">
        <v>46</v>
      </c>
      <c r="M1380" s="4">
        <v>77</v>
      </c>
      <c r="N1380" s="4">
        <v>3</v>
      </c>
      <c r="O1380" s="4">
        <v>2</v>
      </c>
      <c r="P1380" s="4" t="s">
        <v>40</v>
      </c>
      <c r="Q1380" s="4">
        <v>4</v>
      </c>
      <c r="R1380" s="4" t="s">
        <v>52</v>
      </c>
      <c r="S1380" s="4">
        <v>5087</v>
      </c>
      <c r="T1380" s="4">
        <v>2900</v>
      </c>
      <c r="U1380" s="4">
        <v>3</v>
      </c>
      <c r="V1380" s="4" t="s">
        <v>42</v>
      </c>
      <c r="W1380" s="4" t="s">
        <v>35</v>
      </c>
      <c r="X1380" s="4">
        <v>12</v>
      </c>
      <c r="Y1380" s="4">
        <v>3</v>
      </c>
      <c r="Z1380" s="4">
        <v>3</v>
      </c>
      <c r="AA1380" s="4">
        <v>80</v>
      </c>
      <c r="AB1380" s="4">
        <v>2</v>
      </c>
      <c r="AC1380" s="4">
        <v>14</v>
      </c>
      <c r="AD1380" s="4">
        <v>4</v>
      </c>
      <c r="AE1380" s="4">
        <v>3</v>
      </c>
      <c r="AF1380" s="4">
        <v>0</v>
      </c>
      <c r="AG1380" s="4">
        <v>0</v>
      </c>
      <c r="AH1380" s="4">
        <v>0</v>
      </c>
      <c r="AI1380" s="4">
        <v>0</v>
      </c>
      <c r="AJ1380" s="4"/>
      <c r="AK1380" s="4"/>
      <c r="AL1380" s="4"/>
      <c r="AM1380" s="4"/>
      <c r="AN1380" s="4"/>
      <c r="AO1380" s="4"/>
    </row>
    <row r="1381" spans="1:41" hidden="1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41" hidden="1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41" hidden="1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41" x14ac:dyDescent="0.3">
      <c r="A1384" s="4">
        <v>31</v>
      </c>
      <c r="B1384" s="4" t="s">
        <v>43</v>
      </c>
      <c r="C1384" s="4" t="s">
        <v>55</v>
      </c>
      <c r="D1384" s="4">
        <v>976</v>
      </c>
      <c r="E1384" s="4" t="s">
        <v>45</v>
      </c>
      <c r="F1384" s="4">
        <v>3</v>
      </c>
      <c r="G1384" s="4">
        <v>2</v>
      </c>
      <c r="H1384" s="4" t="s">
        <v>51</v>
      </c>
      <c r="I1384" s="4">
        <v>1</v>
      </c>
      <c r="J1384" s="4">
        <v>1948</v>
      </c>
      <c r="K1384" s="4">
        <v>3</v>
      </c>
      <c r="L1384" s="4" t="s">
        <v>46</v>
      </c>
      <c r="M1384" s="4">
        <v>48</v>
      </c>
      <c r="N1384" s="4">
        <v>3</v>
      </c>
      <c r="O1384" s="4">
        <v>1</v>
      </c>
      <c r="P1384" s="4" t="s">
        <v>47</v>
      </c>
      <c r="Q1384" s="4">
        <v>1</v>
      </c>
      <c r="R1384" s="4" t="s">
        <v>52</v>
      </c>
      <c r="S1384" s="4">
        <v>3065</v>
      </c>
      <c r="T1384" s="4">
        <v>3995</v>
      </c>
      <c r="U1384" s="4">
        <v>1</v>
      </c>
      <c r="V1384" s="4" t="s">
        <v>42</v>
      </c>
      <c r="W1384" s="4" t="s">
        <v>35</v>
      </c>
      <c r="X1384" s="4">
        <v>13</v>
      </c>
      <c r="Y1384" s="4">
        <v>3</v>
      </c>
      <c r="Z1384" s="4">
        <v>4</v>
      </c>
      <c r="AA1384" s="4">
        <v>80</v>
      </c>
      <c r="AB1384" s="4">
        <v>1</v>
      </c>
      <c r="AC1384" s="4">
        <v>4</v>
      </c>
      <c r="AD1384" s="4">
        <v>3</v>
      </c>
      <c r="AE1384" s="4">
        <v>4</v>
      </c>
      <c r="AF1384" s="4">
        <v>4</v>
      </c>
      <c r="AG1384" s="4">
        <v>2</v>
      </c>
      <c r="AH1384" s="4">
        <v>2</v>
      </c>
      <c r="AI1384" s="4">
        <v>3</v>
      </c>
      <c r="AJ1384" s="4"/>
      <c r="AK1384" s="4"/>
      <c r="AL1384" s="4"/>
      <c r="AM1384" s="4"/>
      <c r="AN1384" s="4"/>
      <c r="AO1384" s="4"/>
    </row>
    <row r="1385" spans="1:41" hidden="1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41" hidden="1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41" hidden="1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41" hidden="1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41" hidden="1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41" hidden="1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41" hidden="1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41" hidden="1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41" hidden="1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41" x14ac:dyDescent="0.3">
      <c r="A1394" s="4">
        <v>35</v>
      </c>
      <c r="B1394" s="4" t="s">
        <v>43</v>
      </c>
      <c r="C1394" s="4" t="s">
        <v>36</v>
      </c>
      <c r="D1394" s="4">
        <v>1224</v>
      </c>
      <c r="E1394" s="4" t="s">
        <v>37</v>
      </c>
      <c r="F1394" s="4">
        <v>7</v>
      </c>
      <c r="G1394" s="4">
        <v>4</v>
      </c>
      <c r="H1394" s="4" t="s">
        <v>38</v>
      </c>
      <c r="I1394" s="4">
        <v>1</v>
      </c>
      <c r="J1394" s="4">
        <v>1962</v>
      </c>
      <c r="K1394" s="4">
        <v>3</v>
      </c>
      <c r="L1394" s="4" t="s">
        <v>39</v>
      </c>
      <c r="M1394" s="4">
        <v>55</v>
      </c>
      <c r="N1394" s="4">
        <v>3</v>
      </c>
      <c r="O1394" s="4">
        <v>2</v>
      </c>
      <c r="P1394" s="4" t="s">
        <v>40</v>
      </c>
      <c r="Q1394" s="4">
        <v>4</v>
      </c>
      <c r="R1394" s="4" t="s">
        <v>48</v>
      </c>
      <c r="S1394" s="4">
        <v>5204</v>
      </c>
      <c r="T1394" s="4">
        <v>13586</v>
      </c>
      <c r="U1394" s="4">
        <v>1</v>
      </c>
      <c r="V1394" s="4" t="s">
        <v>42</v>
      </c>
      <c r="W1394" s="4" t="s">
        <v>35</v>
      </c>
      <c r="X1394" s="4">
        <v>11</v>
      </c>
      <c r="Y1394" s="4">
        <v>3</v>
      </c>
      <c r="Z1394" s="4">
        <v>4</v>
      </c>
      <c r="AA1394" s="4">
        <v>80</v>
      </c>
      <c r="AB1394" s="4">
        <v>0</v>
      </c>
      <c r="AC1394" s="4">
        <v>10</v>
      </c>
      <c r="AD1394" s="4">
        <v>2</v>
      </c>
      <c r="AE1394" s="4">
        <v>3</v>
      </c>
      <c r="AF1394" s="4">
        <v>10</v>
      </c>
      <c r="AG1394" s="4">
        <v>8</v>
      </c>
      <c r="AH1394" s="4">
        <v>0</v>
      </c>
      <c r="AI1394" s="4">
        <v>9</v>
      </c>
      <c r="AJ1394" s="4"/>
      <c r="AK1394" s="4"/>
      <c r="AL1394" s="4"/>
      <c r="AM1394" s="4"/>
      <c r="AN1394" s="4"/>
      <c r="AO1394" s="4"/>
    </row>
    <row r="1395" spans="1:41" hidden="1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41" hidden="1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41" x14ac:dyDescent="0.3">
      <c r="A1397" s="4">
        <v>31</v>
      </c>
      <c r="B1397" s="4" t="s">
        <v>35</v>
      </c>
      <c r="C1397" s="4" t="s">
        <v>44</v>
      </c>
      <c r="D1397" s="4">
        <v>754</v>
      </c>
      <c r="E1397" s="4" t="s">
        <v>37</v>
      </c>
      <c r="F1397" s="4">
        <v>26</v>
      </c>
      <c r="G1397" s="4">
        <v>4</v>
      </c>
      <c r="H1397" s="4" t="s">
        <v>59</v>
      </c>
      <c r="I1397" s="4">
        <v>1</v>
      </c>
      <c r="J1397" s="4">
        <v>1967</v>
      </c>
      <c r="K1397" s="4">
        <v>1</v>
      </c>
      <c r="L1397" s="4" t="s">
        <v>46</v>
      </c>
      <c r="M1397" s="4">
        <v>63</v>
      </c>
      <c r="N1397" s="4">
        <v>3</v>
      </c>
      <c r="O1397" s="4">
        <v>2</v>
      </c>
      <c r="P1397" s="4" t="s">
        <v>40</v>
      </c>
      <c r="Q1397" s="4">
        <v>4</v>
      </c>
      <c r="R1397" s="4" t="s">
        <v>48</v>
      </c>
      <c r="S1397" s="4">
        <v>5617</v>
      </c>
      <c r="T1397" s="4">
        <v>21075</v>
      </c>
      <c r="U1397" s="4">
        <v>1</v>
      </c>
      <c r="V1397" s="4" t="s">
        <v>42</v>
      </c>
      <c r="W1397" s="4" t="s">
        <v>35</v>
      </c>
      <c r="X1397" s="4">
        <v>11</v>
      </c>
      <c r="Y1397" s="4">
        <v>3</v>
      </c>
      <c r="Z1397" s="4">
        <v>3</v>
      </c>
      <c r="AA1397" s="4">
        <v>80</v>
      </c>
      <c r="AB1397" s="4">
        <v>0</v>
      </c>
      <c r="AC1397" s="4">
        <v>10</v>
      </c>
      <c r="AD1397" s="4">
        <v>4</v>
      </c>
      <c r="AE1397" s="4">
        <v>3</v>
      </c>
      <c r="AF1397" s="4">
        <v>10</v>
      </c>
      <c r="AG1397" s="4">
        <v>7</v>
      </c>
      <c r="AH1397" s="4">
        <v>0</v>
      </c>
      <c r="AI1397" s="4">
        <v>8</v>
      </c>
      <c r="AJ1397" s="4"/>
      <c r="AK1397" s="4"/>
      <c r="AL1397" s="4"/>
      <c r="AM1397" s="4"/>
      <c r="AN1397" s="4"/>
      <c r="AO1397" s="4"/>
    </row>
    <row r="1398" spans="1:41" x14ac:dyDescent="0.3">
      <c r="A1398" s="4">
        <v>53</v>
      </c>
      <c r="B1398" s="4" t="s">
        <v>35</v>
      </c>
      <c r="C1398" s="4" t="s">
        <v>36</v>
      </c>
      <c r="D1398" s="4">
        <v>1168</v>
      </c>
      <c r="E1398" s="4" t="s">
        <v>37</v>
      </c>
      <c r="F1398" s="4">
        <v>24</v>
      </c>
      <c r="G1398" s="4">
        <v>4</v>
      </c>
      <c r="H1398" s="4" t="s">
        <v>38</v>
      </c>
      <c r="I1398" s="4">
        <v>1</v>
      </c>
      <c r="J1398" s="4">
        <v>1968</v>
      </c>
      <c r="K1398" s="4">
        <v>1</v>
      </c>
      <c r="L1398" s="4" t="s">
        <v>46</v>
      </c>
      <c r="M1398" s="4">
        <v>66</v>
      </c>
      <c r="N1398" s="4">
        <v>3</v>
      </c>
      <c r="O1398" s="4">
        <v>3</v>
      </c>
      <c r="P1398" s="4" t="s">
        <v>40</v>
      </c>
      <c r="Q1398" s="4">
        <v>1</v>
      </c>
      <c r="R1398" s="4" t="s">
        <v>41</v>
      </c>
      <c r="S1398" s="4">
        <v>10448</v>
      </c>
      <c r="T1398" s="4">
        <v>5843</v>
      </c>
      <c r="U1398" s="4">
        <v>6</v>
      </c>
      <c r="V1398" s="4" t="s">
        <v>42</v>
      </c>
      <c r="W1398" s="4" t="s">
        <v>35</v>
      </c>
      <c r="X1398" s="4">
        <v>13</v>
      </c>
      <c r="Y1398" s="4">
        <v>3</v>
      </c>
      <c r="Z1398" s="4">
        <v>2</v>
      </c>
      <c r="AA1398" s="4">
        <v>80</v>
      </c>
      <c r="AB1398" s="4">
        <v>0</v>
      </c>
      <c r="AC1398" s="4">
        <v>15</v>
      </c>
      <c r="AD1398" s="4">
        <v>2</v>
      </c>
      <c r="AE1398" s="4">
        <v>2</v>
      </c>
      <c r="AF1398" s="4">
        <v>2</v>
      </c>
      <c r="AG1398" s="4">
        <v>2</v>
      </c>
      <c r="AH1398" s="4">
        <v>2</v>
      </c>
      <c r="AI1398" s="4">
        <v>2</v>
      </c>
      <c r="AJ1398" s="4"/>
      <c r="AK1398" s="4"/>
      <c r="AL1398" s="4"/>
      <c r="AM1398" s="4"/>
      <c r="AN1398" s="4"/>
      <c r="AO1398" s="4"/>
    </row>
    <row r="1399" spans="1:41" hidden="1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41" hidden="1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41" hidden="1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41" x14ac:dyDescent="0.3">
      <c r="A1402" s="4">
        <v>38</v>
      </c>
      <c r="B1402" s="4" t="s">
        <v>43</v>
      </c>
      <c r="C1402" s="4" t="s">
        <v>44</v>
      </c>
      <c r="D1402" s="4">
        <v>1444</v>
      </c>
      <c r="E1402" s="4" t="s">
        <v>61</v>
      </c>
      <c r="F1402" s="4">
        <v>1</v>
      </c>
      <c r="G1402" s="4">
        <v>4</v>
      </c>
      <c r="H1402" s="4" t="s">
        <v>49</v>
      </c>
      <c r="I1402" s="4">
        <v>1</v>
      </c>
      <c r="J1402" s="4">
        <v>1972</v>
      </c>
      <c r="K1402" s="4">
        <v>4</v>
      </c>
      <c r="L1402" s="4" t="s">
        <v>46</v>
      </c>
      <c r="M1402" s="4">
        <v>88</v>
      </c>
      <c r="N1402" s="4">
        <v>3</v>
      </c>
      <c r="O1402" s="4">
        <v>1</v>
      </c>
      <c r="P1402" s="4" t="s">
        <v>61</v>
      </c>
      <c r="Q1402" s="4">
        <v>2</v>
      </c>
      <c r="R1402" s="4" t="s">
        <v>48</v>
      </c>
      <c r="S1402" s="4">
        <v>2991</v>
      </c>
      <c r="T1402" s="4">
        <v>5224</v>
      </c>
      <c r="U1402" s="4">
        <v>0</v>
      </c>
      <c r="V1402" s="4" t="s">
        <v>42</v>
      </c>
      <c r="W1402" s="4" t="s">
        <v>35</v>
      </c>
      <c r="X1402" s="4">
        <v>11</v>
      </c>
      <c r="Y1402" s="4">
        <v>3</v>
      </c>
      <c r="Z1402" s="4">
        <v>2</v>
      </c>
      <c r="AA1402" s="4">
        <v>80</v>
      </c>
      <c r="AB1402" s="4">
        <v>1</v>
      </c>
      <c r="AC1402" s="4">
        <v>7</v>
      </c>
      <c r="AD1402" s="4">
        <v>2</v>
      </c>
      <c r="AE1402" s="4">
        <v>3</v>
      </c>
      <c r="AF1402" s="4">
        <v>6</v>
      </c>
      <c r="AG1402" s="4">
        <v>2</v>
      </c>
      <c r="AH1402" s="4">
        <v>1</v>
      </c>
      <c r="AI1402" s="4">
        <v>2</v>
      </c>
      <c r="AJ1402" s="4"/>
      <c r="AK1402" s="4"/>
      <c r="AL1402" s="4"/>
      <c r="AM1402" s="4"/>
      <c r="AN1402" s="4"/>
      <c r="AO1402" s="4"/>
    </row>
    <row r="1403" spans="1:41" x14ac:dyDescent="0.3">
      <c r="A1403" s="4">
        <v>55</v>
      </c>
      <c r="B1403" s="4" t="s">
        <v>43</v>
      </c>
      <c r="C1403" s="4" t="s">
        <v>36</v>
      </c>
      <c r="D1403" s="4">
        <v>189</v>
      </c>
      <c r="E1403" s="4" t="s">
        <v>61</v>
      </c>
      <c r="F1403" s="4">
        <v>26</v>
      </c>
      <c r="G1403" s="4">
        <v>4</v>
      </c>
      <c r="H1403" s="4" t="s">
        <v>61</v>
      </c>
      <c r="I1403" s="4">
        <v>1</v>
      </c>
      <c r="J1403" s="4">
        <v>1973</v>
      </c>
      <c r="K1403" s="4">
        <v>3</v>
      </c>
      <c r="L1403" s="4" t="s">
        <v>46</v>
      </c>
      <c r="M1403" s="4">
        <v>71</v>
      </c>
      <c r="N1403" s="4">
        <v>4</v>
      </c>
      <c r="O1403" s="4">
        <v>5</v>
      </c>
      <c r="P1403" s="4" t="s">
        <v>56</v>
      </c>
      <c r="Q1403" s="4">
        <v>2</v>
      </c>
      <c r="R1403" s="4" t="s">
        <v>48</v>
      </c>
      <c r="S1403" s="4">
        <v>19636</v>
      </c>
      <c r="T1403" s="4">
        <v>25811</v>
      </c>
      <c r="U1403" s="4">
        <v>4</v>
      </c>
      <c r="V1403" s="4" t="s">
        <v>42</v>
      </c>
      <c r="W1403" s="4" t="s">
        <v>35</v>
      </c>
      <c r="X1403" s="4">
        <v>18</v>
      </c>
      <c r="Y1403" s="4">
        <v>3</v>
      </c>
      <c r="Z1403" s="4">
        <v>1</v>
      </c>
      <c r="AA1403" s="4">
        <v>80</v>
      </c>
      <c r="AB1403" s="4">
        <v>1</v>
      </c>
      <c r="AC1403" s="4">
        <v>35</v>
      </c>
      <c r="AD1403" s="4">
        <v>0</v>
      </c>
      <c r="AE1403" s="4">
        <v>3</v>
      </c>
      <c r="AF1403" s="4">
        <v>10</v>
      </c>
      <c r="AG1403" s="4">
        <v>9</v>
      </c>
      <c r="AH1403" s="4">
        <v>1</v>
      </c>
      <c r="AI1403" s="4">
        <v>4</v>
      </c>
      <c r="AJ1403" s="4"/>
      <c r="AK1403" s="4"/>
      <c r="AL1403" s="4"/>
      <c r="AM1403" s="4"/>
      <c r="AN1403" s="4"/>
      <c r="AO1403" s="4"/>
    </row>
    <row r="1404" spans="1:41" x14ac:dyDescent="0.3">
      <c r="A1404" s="4">
        <v>31</v>
      </c>
      <c r="B1404" s="4" t="s">
        <v>43</v>
      </c>
      <c r="C1404" s="4" t="s">
        <v>36</v>
      </c>
      <c r="D1404" s="4">
        <v>1276</v>
      </c>
      <c r="E1404" s="4" t="s">
        <v>45</v>
      </c>
      <c r="F1404" s="4">
        <v>2</v>
      </c>
      <c r="G1404" s="4">
        <v>1</v>
      </c>
      <c r="H1404" s="4" t="s">
        <v>51</v>
      </c>
      <c r="I1404" s="4">
        <v>1</v>
      </c>
      <c r="J1404" s="4">
        <v>1974</v>
      </c>
      <c r="K1404" s="4">
        <v>4</v>
      </c>
      <c r="L1404" s="4" t="s">
        <v>39</v>
      </c>
      <c r="M1404" s="4">
        <v>59</v>
      </c>
      <c r="N1404" s="4">
        <v>1</v>
      </c>
      <c r="O1404" s="4">
        <v>1</v>
      </c>
      <c r="P1404" s="4" t="s">
        <v>50</v>
      </c>
      <c r="Q1404" s="4">
        <v>4</v>
      </c>
      <c r="R1404" s="4" t="s">
        <v>52</v>
      </c>
      <c r="S1404" s="4">
        <v>1129</v>
      </c>
      <c r="T1404" s="4">
        <v>17536</v>
      </c>
      <c r="U1404" s="4">
        <v>1</v>
      </c>
      <c r="V1404" s="4" t="s">
        <v>42</v>
      </c>
      <c r="W1404" s="4" t="s">
        <v>35</v>
      </c>
      <c r="X1404" s="4">
        <v>11</v>
      </c>
      <c r="Y1404" s="4">
        <v>3</v>
      </c>
      <c r="Z1404" s="4">
        <v>3</v>
      </c>
      <c r="AA1404" s="4">
        <v>80</v>
      </c>
      <c r="AB1404" s="4">
        <v>3</v>
      </c>
      <c r="AC1404" s="4">
        <v>1</v>
      </c>
      <c r="AD1404" s="4">
        <v>4</v>
      </c>
      <c r="AE1404" s="4">
        <v>3</v>
      </c>
      <c r="AF1404" s="4">
        <v>1</v>
      </c>
      <c r="AG1404" s="4">
        <v>0</v>
      </c>
      <c r="AH1404" s="4">
        <v>0</v>
      </c>
      <c r="AI1404" s="4">
        <v>0</v>
      </c>
      <c r="AJ1404" s="4"/>
      <c r="AK1404" s="4"/>
      <c r="AL1404" s="4"/>
      <c r="AM1404" s="4"/>
      <c r="AN1404" s="4"/>
      <c r="AO1404" s="4"/>
    </row>
    <row r="1405" spans="1:41" hidden="1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41" hidden="1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41" hidden="1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41" x14ac:dyDescent="0.3">
      <c r="A1408" s="4">
        <v>54</v>
      </c>
      <c r="B1408" s="4" t="s">
        <v>43</v>
      </c>
      <c r="C1408" s="4" t="s">
        <v>36</v>
      </c>
      <c r="D1408" s="4">
        <v>157</v>
      </c>
      <c r="E1408" s="4" t="s">
        <v>45</v>
      </c>
      <c r="F1408" s="4">
        <v>10</v>
      </c>
      <c r="G1408" s="4">
        <v>3</v>
      </c>
      <c r="H1408" s="4" t="s">
        <v>51</v>
      </c>
      <c r="I1408" s="4">
        <v>1</v>
      </c>
      <c r="J1408" s="4">
        <v>1980</v>
      </c>
      <c r="K1408" s="4">
        <v>3</v>
      </c>
      <c r="L1408" s="4" t="s">
        <v>39</v>
      </c>
      <c r="M1408" s="4">
        <v>77</v>
      </c>
      <c r="N1408" s="4">
        <v>3</v>
      </c>
      <c r="O1408" s="4">
        <v>2</v>
      </c>
      <c r="P1408" s="4" t="s">
        <v>53</v>
      </c>
      <c r="Q1408" s="4">
        <v>1</v>
      </c>
      <c r="R1408" s="4" t="s">
        <v>41</v>
      </c>
      <c r="S1408" s="4">
        <v>4440</v>
      </c>
      <c r="T1408" s="4">
        <v>25198</v>
      </c>
      <c r="U1408" s="4">
        <v>6</v>
      </c>
      <c r="V1408" s="4" t="s">
        <v>42</v>
      </c>
      <c r="W1408" s="4" t="s">
        <v>35</v>
      </c>
      <c r="X1408" s="4">
        <v>19</v>
      </c>
      <c r="Y1408" s="4">
        <v>3</v>
      </c>
      <c r="Z1408" s="4">
        <v>4</v>
      </c>
      <c r="AA1408" s="4">
        <v>80</v>
      </c>
      <c r="AB1408" s="4">
        <v>0</v>
      </c>
      <c r="AC1408" s="4">
        <v>9</v>
      </c>
      <c r="AD1408" s="4">
        <v>3</v>
      </c>
      <c r="AE1408" s="4">
        <v>3</v>
      </c>
      <c r="AF1408" s="4">
        <v>5</v>
      </c>
      <c r="AG1408" s="4">
        <v>2</v>
      </c>
      <c r="AH1408" s="4">
        <v>1</v>
      </c>
      <c r="AI1408" s="4">
        <v>4</v>
      </c>
      <c r="AJ1408" s="4"/>
      <c r="AK1408" s="4"/>
      <c r="AL1408" s="4"/>
      <c r="AM1408" s="4"/>
      <c r="AN1408" s="4"/>
      <c r="AO1408" s="4"/>
    </row>
    <row r="1409" spans="1:41" hidden="1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41" hidden="1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41" hidden="1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41" hidden="1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41" hidden="1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41" hidden="1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41" x14ac:dyDescent="0.3">
      <c r="A1415" s="4">
        <v>25</v>
      </c>
      <c r="B1415" s="4" t="s">
        <v>43</v>
      </c>
      <c r="C1415" s="4" t="s">
        <v>36</v>
      </c>
      <c r="D1415" s="4">
        <v>977</v>
      </c>
      <c r="E1415" s="4" t="s">
        <v>45</v>
      </c>
      <c r="F1415" s="4">
        <v>2</v>
      </c>
      <c r="G1415" s="4">
        <v>1</v>
      </c>
      <c r="H1415" s="4" t="s">
        <v>49</v>
      </c>
      <c r="I1415" s="4">
        <v>1</v>
      </c>
      <c r="J1415" s="4">
        <v>1992</v>
      </c>
      <c r="K1415" s="4">
        <v>4</v>
      </c>
      <c r="L1415" s="4" t="s">
        <v>46</v>
      </c>
      <c r="M1415" s="4">
        <v>57</v>
      </c>
      <c r="N1415" s="4">
        <v>3</v>
      </c>
      <c r="O1415" s="4">
        <v>1</v>
      </c>
      <c r="P1415" s="4" t="s">
        <v>50</v>
      </c>
      <c r="Q1415" s="4">
        <v>3</v>
      </c>
      <c r="R1415" s="4" t="s">
        <v>52</v>
      </c>
      <c r="S1415" s="4">
        <v>3977</v>
      </c>
      <c r="T1415" s="4">
        <v>7298</v>
      </c>
      <c r="U1415" s="4">
        <v>6</v>
      </c>
      <c r="V1415" s="4" t="s">
        <v>42</v>
      </c>
      <c r="W1415" s="4" t="s">
        <v>35</v>
      </c>
      <c r="X1415" s="4">
        <v>19</v>
      </c>
      <c r="Y1415" s="4">
        <v>3</v>
      </c>
      <c r="Z1415" s="4">
        <v>3</v>
      </c>
      <c r="AA1415" s="4">
        <v>80</v>
      </c>
      <c r="AB1415" s="4">
        <v>1</v>
      </c>
      <c r="AC1415" s="4">
        <v>7</v>
      </c>
      <c r="AD1415" s="4">
        <v>2</v>
      </c>
      <c r="AE1415" s="4">
        <v>2</v>
      </c>
      <c r="AF1415" s="4">
        <v>2</v>
      </c>
      <c r="AG1415" s="4">
        <v>2</v>
      </c>
      <c r="AH1415" s="4">
        <v>0</v>
      </c>
      <c r="AI1415" s="4">
        <v>2</v>
      </c>
      <c r="AJ1415" s="4"/>
      <c r="AK1415" s="4"/>
      <c r="AL1415" s="4"/>
      <c r="AM1415" s="4"/>
      <c r="AN1415" s="4"/>
      <c r="AO1415" s="4"/>
    </row>
    <row r="1416" spans="1:41" hidden="1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41" hidden="1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41" hidden="1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41" hidden="1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41" hidden="1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41" x14ac:dyDescent="0.3">
      <c r="A1421" s="4">
        <v>42</v>
      </c>
      <c r="B1421" s="4" t="s">
        <v>43</v>
      </c>
      <c r="C1421" s="4" t="s">
        <v>36</v>
      </c>
      <c r="D1421" s="4">
        <v>557</v>
      </c>
      <c r="E1421" s="4" t="s">
        <v>45</v>
      </c>
      <c r="F1421" s="4">
        <v>18</v>
      </c>
      <c r="G1421" s="4">
        <v>4</v>
      </c>
      <c r="H1421" s="4" t="s">
        <v>38</v>
      </c>
      <c r="I1421" s="4">
        <v>1</v>
      </c>
      <c r="J1421" s="4">
        <v>1998</v>
      </c>
      <c r="K1421" s="4">
        <v>4</v>
      </c>
      <c r="L1421" s="4" t="s">
        <v>46</v>
      </c>
      <c r="M1421" s="4">
        <v>35</v>
      </c>
      <c r="N1421" s="4">
        <v>3</v>
      </c>
      <c r="O1421" s="4">
        <v>2</v>
      </c>
      <c r="P1421" s="4" t="s">
        <v>47</v>
      </c>
      <c r="Q1421" s="4">
        <v>1</v>
      </c>
      <c r="R1421" s="4" t="s">
        <v>52</v>
      </c>
      <c r="S1421" s="4">
        <v>5410</v>
      </c>
      <c r="T1421" s="4">
        <v>11189</v>
      </c>
      <c r="U1421" s="4">
        <v>6</v>
      </c>
      <c r="V1421" s="4" t="s">
        <v>42</v>
      </c>
      <c r="W1421" s="4" t="s">
        <v>35</v>
      </c>
      <c r="X1421" s="4">
        <v>17</v>
      </c>
      <c r="Y1421" s="4">
        <v>3</v>
      </c>
      <c r="Z1421" s="4">
        <v>3</v>
      </c>
      <c r="AA1421" s="4">
        <v>80</v>
      </c>
      <c r="AB1421" s="4">
        <v>1</v>
      </c>
      <c r="AC1421" s="4">
        <v>9</v>
      </c>
      <c r="AD1421" s="4">
        <v>3</v>
      </c>
      <c r="AE1421" s="4">
        <v>2</v>
      </c>
      <c r="AF1421" s="4">
        <v>4</v>
      </c>
      <c r="AG1421" s="4">
        <v>3</v>
      </c>
      <c r="AH1421" s="4">
        <v>1</v>
      </c>
      <c r="AI1421" s="4">
        <v>2</v>
      </c>
      <c r="AJ1421" s="4"/>
      <c r="AK1421" s="4"/>
      <c r="AL1421" s="4"/>
      <c r="AM1421" s="4"/>
      <c r="AN1421" s="4"/>
      <c r="AO1421" s="4"/>
    </row>
    <row r="1422" spans="1:41" hidden="1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41" hidden="1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41" x14ac:dyDescent="0.3">
      <c r="A1424" s="4">
        <v>35</v>
      </c>
      <c r="B1424" s="4" t="s">
        <v>43</v>
      </c>
      <c r="C1424" s="4" t="s">
        <v>36</v>
      </c>
      <c r="D1424" s="4">
        <v>1490</v>
      </c>
      <c r="E1424" s="4" t="s">
        <v>45</v>
      </c>
      <c r="F1424" s="4">
        <v>11</v>
      </c>
      <c r="G1424" s="4">
        <v>4</v>
      </c>
      <c r="H1424" s="4" t="s">
        <v>51</v>
      </c>
      <c r="I1424" s="4">
        <v>1</v>
      </c>
      <c r="J1424" s="4">
        <v>2003</v>
      </c>
      <c r="K1424" s="4">
        <v>4</v>
      </c>
      <c r="L1424" s="4" t="s">
        <v>46</v>
      </c>
      <c r="M1424" s="4">
        <v>43</v>
      </c>
      <c r="N1424" s="4">
        <v>3</v>
      </c>
      <c r="O1424" s="4">
        <v>1</v>
      </c>
      <c r="P1424" s="4" t="s">
        <v>50</v>
      </c>
      <c r="Q1424" s="4">
        <v>3</v>
      </c>
      <c r="R1424" s="4" t="s">
        <v>48</v>
      </c>
      <c r="S1424" s="4">
        <v>2660</v>
      </c>
      <c r="T1424" s="4">
        <v>20232</v>
      </c>
      <c r="U1424" s="4">
        <v>7</v>
      </c>
      <c r="V1424" s="4" t="s">
        <v>42</v>
      </c>
      <c r="W1424" s="4" t="s">
        <v>35</v>
      </c>
      <c r="X1424" s="4">
        <v>11</v>
      </c>
      <c r="Y1424" s="4">
        <v>3</v>
      </c>
      <c r="Z1424" s="4">
        <v>3</v>
      </c>
      <c r="AA1424" s="4">
        <v>80</v>
      </c>
      <c r="AB1424" s="4">
        <v>1</v>
      </c>
      <c r="AC1424" s="4">
        <v>5</v>
      </c>
      <c r="AD1424" s="4">
        <v>3</v>
      </c>
      <c r="AE1424" s="4">
        <v>3</v>
      </c>
      <c r="AF1424" s="4">
        <v>2</v>
      </c>
      <c r="AG1424" s="4">
        <v>2</v>
      </c>
      <c r="AH1424" s="4">
        <v>2</v>
      </c>
      <c r="AI1424" s="4">
        <v>2</v>
      </c>
      <c r="AJ1424" s="4"/>
      <c r="AK1424" s="4"/>
      <c r="AL1424" s="4"/>
      <c r="AM1424" s="4"/>
      <c r="AN1424" s="4"/>
      <c r="AO1424" s="4"/>
    </row>
    <row r="1425" spans="1:41" hidden="1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41" hidden="1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41" x14ac:dyDescent="0.3">
      <c r="A1427" s="4">
        <v>33</v>
      </c>
      <c r="B1427" s="4" t="s">
        <v>43</v>
      </c>
      <c r="C1427" s="4" t="s">
        <v>36</v>
      </c>
      <c r="D1427" s="4">
        <v>501</v>
      </c>
      <c r="E1427" s="4" t="s">
        <v>45</v>
      </c>
      <c r="F1427" s="4">
        <v>15</v>
      </c>
      <c r="G1427" s="4">
        <v>2</v>
      </c>
      <c r="H1427" s="4" t="s">
        <v>51</v>
      </c>
      <c r="I1427" s="4">
        <v>1</v>
      </c>
      <c r="J1427" s="4">
        <v>2009</v>
      </c>
      <c r="K1427" s="4">
        <v>2</v>
      </c>
      <c r="L1427" s="4" t="s">
        <v>39</v>
      </c>
      <c r="M1427" s="4">
        <v>95</v>
      </c>
      <c r="N1427" s="4">
        <v>3</v>
      </c>
      <c r="O1427" s="4">
        <v>2</v>
      </c>
      <c r="P1427" s="4" t="s">
        <v>54</v>
      </c>
      <c r="Q1427" s="4">
        <v>4</v>
      </c>
      <c r="R1427" s="4" t="s">
        <v>48</v>
      </c>
      <c r="S1427" s="4">
        <v>4878</v>
      </c>
      <c r="T1427" s="4">
        <v>21653</v>
      </c>
      <c r="U1427" s="4">
        <v>0</v>
      </c>
      <c r="V1427" s="4" t="s">
        <v>42</v>
      </c>
      <c r="W1427" s="4" t="s">
        <v>35</v>
      </c>
      <c r="X1427" s="4">
        <v>13</v>
      </c>
      <c r="Y1427" s="4">
        <v>3</v>
      </c>
      <c r="Z1427" s="4">
        <v>1</v>
      </c>
      <c r="AA1427" s="4">
        <v>80</v>
      </c>
      <c r="AB1427" s="4">
        <v>1</v>
      </c>
      <c r="AC1427" s="4">
        <v>10</v>
      </c>
      <c r="AD1427" s="4">
        <v>6</v>
      </c>
      <c r="AE1427" s="4">
        <v>3</v>
      </c>
      <c r="AF1427" s="4">
        <v>9</v>
      </c>
      <c r="AG1427" s="4">
        <v>7</v>
      </c>
      <c r="AH1427" s="4">
        <v>8</v>
      </c>
      <c r="AI1427" s="4">
        <v>1</v>
      </c>
      <c r="AJ1427" s="4"/>
      <c r="AK1427" s="4"/>
      <c r="AL1427" s="4"/>
      <c r="AM1427" s="4"/>
      <c r="AN1427" s="4"/>
      <c r="AO1427" s="4"/>
    </row>
    <row r="1428" spans="1:41" hidden="1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41" hidden="1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41" hidden="1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41" hidden="1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41" hidden="1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41" hidden="1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41" x14ac:dyDescent="0.3">
      <c r="A1434" s="4">
        <v>37</v>
      </c>
      <c r="B1434" s="4" t="s">
        <v>43</v>
      </c>
      <c r="C1434" s="4" t="s">
        <v>36</v>
      </c>
      <c r="D1434" s="4">
        <v>161</v>
      </c>
      <c r="E1434" s="4" t="s">
        <v>45</v>
      </c>
      <c r="F1434" s="4">
        <v>10</v>
      </c>
      <c r="G1434" s="4">
        <v>3</v>
      </c>
      <c r="H1434" s="4" t="s">
        <v>38</v>
      </c>
      <c r="I1434" s="4">
        <v>1</v>
      </c>
      <c r="J1434" s="4">
        <v>2017</v>
      </c>
      <c r="K1434" s="4">
        <v>3</v>
      </c>
      <c r="L1434" s="4" t="s">
        <v>39</v>
      </c>
      <c r="M1434" s="4">
        <v>42</v>
      </c>
      <c r="N1434" s="4">
        <v>4</v>
      </c>
      <c r="O1434" s="4">
        <v>3</v>
      </c>
      <c r="P1434" s="4" t="s">
        <v>58</v>
      </c>
      <c r="Q1434" s="4">
        <v>4</v>
      </c>
      <c r="R1434" s="4" t="s">
        <v>48</v>
      </c>
      <c r="S1434" s="4">
        <v>13744</v>
      </c>
      <c r="T1434" s="4">
        <v>15471</v>
      </c>
      <c r="U1434" s="4">
        <v>1</v>
      </c>
      <c r="V1434" s="4" t="s">
        <v>42</v>
      </c>
      <c r="W1434" s="4" t="s">
        <v>35</v>
      </c>
      <c r="X1434" s="4">
        <v>25</v>
      </c>
      <c r="Y1434" s="4">
        <v>4</v>
      </c>
      <c r="Z1434" s="4">
        <v>1</v>
      </c>
      <c r="AA1434" s="4">
        <v>80</v>
      </c>
      <c r="AB1434" s="4">
        <v>1</v>
      </c>
      <c r="AC1434" s="4">
        <v>16</v>
      </c>
      <c r="AD1434" s="4">
        <v>2</v>
      </c>
      <c r="AE1434" s="4">
        <v>3</v>
      </c>
      <c r="AF1434" s="4">
        <v>16</v>
      </c>
      <c r="AG1434" s="4">
        <v>11</v>
      </c>
      <c r="AH1434" s="4">
        <v>6</v>
      </c>
      <c r="AI1434" s="4">
        <v>8</v>
      </c>
      <c r="AJ1434" s="4"/>
      <c r="AK1434" s="4"/>
      <c r="AL1434" s="4"/>
      <c r="AM1434" s="4"/>
      <c r="AN1434" s="4"/>
      <c r="AO1434" s="4"/>
    </row>
    <row r="1435" spans="1:41" x14ac:dyDescent="0.3">
      <c r="A1435" s="4">
        <v>25</v>
      </c>
      <c r="B1435" s="4" t="s">
        <v>43</v>
      </c>
      <c r="C1435" s="4" t="s">
        <v>36</v>
      </c>
      <c r="D1435" s="4">
        <v>1382</v>
      </c>
      <c r="E1435" s="4" t="s">
        <v>37</v>
      </c>
      <c r="F1435" s="4">
        <v>8</v>
      </c>
      <c r="G1435" s="4">
        <v>2</v>
      </c>
      <c r="H1435" s="4" t="s">
        <v>49</v>
      </c>
      <c r="I1435" s="4">
        <v>1</v>
      </c>
      <c r="J1435" s="4">
        <v>2018</v>
      </c>
      <c r="K1435" s="4">
        <v>1</v>
      </c>
      <c r="L1435" s="4" t="s">
        <v>39</v>
      </c>
      <c r="M1435" s="4">
        <v>85</v>
      </c>
      <c r="N1435" s="4">
        <v>3</v>
      </c>
      <c r="O1435" s="4">
        <v>2</v>
      </c>
      <c r="P1435" s="4" t="s">
        <v>40</v>
      </c>
      <c r="Q1435" s="4">
        <v>3</v>
      </c>
      <c r="R1435" s="4" t="s">
        <v>52</v>
      </c>
      <c r="S1435" s="4">
        <v>4907</v>
      </c>
      <c r="T1435" s="4">
        <v>13684</v>
      </c>
      <c r="U1435" s="4">
        <v>0</v>
      </c>
      <c r="V1435" s="4" t="s">
        <v>42</v>
      </c>
      <c r="W1435" s="4" t="s">
        <v>35</v>
      </c>
      <c r="X1435" s="4">
        <v>22</v>
      </c>
      <c r="Y1435" s="4">
        <v>4</v>
      </c>
      <c r="Z1435" s="4">
        <v>2</v>
      </c>
      <c r="AA1435" s="4">
        <v>80</v>
      </c>
      <c r="AB1435" s="4">
        <v>1</v>
      </c>
      <c r="AC1435" s="4">
        <v>6</v>
      </c>
      <c r="AD1435" s="4">
        <v>3</v>
      </c>
      <c r="AE1435" s="4">
        <v>2</v>
      </c>
      <c r="AF1435" s="4">
        <v>5</v>
      </c>
      <c r="AG1435" s="4">
        <v>3</v>
      </c>
      <c r="AH1435" s="4">
        <v>0</v>
      </c>
      <c r="AI1435" s="4">
        <v>4</v>
      </c>
      <c r="AJ1435" s="4"/>
      <c r="AK1435" s="4"/>
      <c r="AL1435" s="4"/>
      <c r="AM1435" s="4"/>
      <c r="AN1435" s="4"/>
      <c r="AO1435" s="4"/>
    </row>
    <row r="1436" spans="1:41" hidden="1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41" x14ac:dyDescent="0.3">
      <c r="A1437" s="4">
        <v>44</v>
      </c>
      <c r="B1437" s="4" t="s">
        <v>43</v>
      </c>
      <c r="C1437" s="4" t="s">
        <v>36</v>
      </c>
      <c r="D1437" s="4">
        <v>1037</v>
      </c>
      <c r="E1437" s="4" t="s">
        <v>45</v>
      </c>
      <c r="F1437" s="4">
        <v>1</v>
      </c>
      <c r="G1437" s="4">
        <v>3</v>
      </c>
      <c r="H1437" s="4" t="s">
        <v>51</v>
      </c>
      <c r="I1437" s="4">
        <v>1</v>
      </c>
      <c r="J1437" s="4">
        <v>2020</v>
      </c>
      <c r="K1437" s="4">
        <v>2</v>
      </c>
      <c r="L1437" s="4" t="s">
        <v>46</v>
      </c>
      <c r="M1437" s="4">
        <v>42</v>
      </c>
      <c r="N1437" s="4">
        <v>3</v>
      </c>
      <c r="O1437" s="4">
        <v>1</v>
      </c>
      <c r="P1437" s="4" t="s">
        <v>47</v>
      </c>
      <c r="Q1437" s="4">
        <v>4</v>
      </c>
      <c r="R1437" s="4" t="s">
        <v>41</v>
      </c>
      <c r="S1437" s="4">
        <v>2436</v>
      </c>
      <c r="T1437" s="4">
        <v>13422</v>
      </c>
      <c r="U1437" s="4">
        <v>6</v>
      </c>
      <c r="V1437" s="4" t="s">
        <v>42</v>
      </c>
      <c r="W1437" s="4" t="s">
        <v>35</v>
      </c>
      <c r="X1437" s="4">
        <v>12</v>
      </c>
      <c r="Y1437" s="4">
        <v>3</v>
      </c>
      <c r="Z1437" s="4">
        <v>3</v>
      </c>
      <c r="AA1437" s="4">
        <v>80</v>
      </c>
      <c r="AB1437" s="4">
        <v>0</v>
      </c>
      <c r="AC1437" s="4">
        <v>6</v>
      </c>
      <c r="AD1437" s="4">
        <v>2</v>
      </c>
      <c r="AE1437" s="4">
        <v>3</v>
      </c>
      <c r="AF1437" s="4">
        <v>4</v>
      </c>
      <c r="AG1437" s="4">
        <v>3</v>
      </c>
      <c r="AH1437" s="4">
        <v>1</v>
      </c>
      <c r="AI1437" s="4">
        <v>2</v>
      </c>
      <c r="AJ1437" s="4"/>
      <c r="AK1437" s="4"/>
      <c r="AL1437" s="4"/>
      <c r="AM1437" s="4"/>
      <c r="AN1437" s="4"/>
      <c r="AO1437" s="4"/>
    </row>
    <row r="1438" spans="1:41" x14ac:dyDescent="0.3">
      <c r="A1438" s="4">
        <v>21</v>
      </c>
      <c r="B1438" s="4" t="s">
        <v>43</v>
      </c>
      <c r="C1438" s="4" t="s">
        <v>36</v>
      </c>
      <c r="D1438" s="4">
        <v>501</v>
      </c>
      <c r="E1438" s="4" t="s">
        <v>37</v>
      </c>
      <c r="F1438" s="4">
        <v>5</v>
      </c>
      <c r="G1438" s="4">
        <v>1</v>
      </c>
      <c r="H1438" s="4" t="s">
        <v>51</v>
      </c>
      <c r="I1438" s="4">
        <v>1</v>
      </c>
      <c r="J1438" s="4">
        <v>2021</v>
      </c>
      <c r="K1438" s="4">
        <v>3</v>
      </c>
      <c r="L1438" s="4" t="s">
        <v>46</v>
      </c>
      <c r="M1438" s="4">
        <v>58</v>
      </c>
      <c r="N1438" s="4">
        <v>3</v>
      </c>
      <c r="O1438" s="4">
        <v>1</v>
      </c>
      <c r="P1438" s="4" t="s">
        <v>57</v>
      </c>
      <c r="Q1438" s="4">
        <v>1</v>
      </c>
      <c r="R1438" s="4" t="s">
        <v>41</v>
      </c>
      <c r="S1438" s="4">
        <v>2380</v>
      </c>
      <c r="T1438" s="4">
        <v>25479</v>
      </c>
      <c r="U1438" s="4">
        <v>1</v>
      </c>
      <c r="V1438" s="4" t="s">
        <v>42</v>
      </c>
      <c r="W1438" s="4" t="s">
        <v>35</v>
      </c>
      <c r="X1438" s="4">
        <v>11</v>
      </c>
      <c r="Y1438" s="4">
        <v>3</v>
      </c>
      <c r="Z1438" s="4">
        <v>4</v>
      </c>
      <c r="AA1438" s="4">
        <v>80</v>
      </c>
      <c r="AB1438" s="4">
        <v>0</v>
      </c>
      <c r="AC1438" s="4">
        <v>2</v>
      </c>
      <c r="AD1438" s="4">
        <v>6</v>
      </c>
      <c r="AE1438" s="4">
        <v>3</v>
      </c>
      <c r="AF1438" s="4">
        <v>2</v>
      </c>
      <c r="AG1438" s="4">
        <v>2</v>
      </c>
      <c r="AH1438" s="4">
        <v>1</v>
      </c>
      <c r="AI1438" s="4">
        <v>2</v>
      </c>
      <c r="AJ1438" s="4"/>
      <c r="AK1438" s="4"/>
      <c r="AL1438" s="4"/>
      <c r="AM1438" s="4"/>
      <c r="AN1438" s="4"/>
      <c r="AO1438" s="4"/>
    </row>
    <row r="1439" spans="1:41" hidden="1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41" hidden="1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41" hidden="1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41" hidden="1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41" hidden="1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41" x14ac:dyDescent="0.3">
      <c r="A1444" s="4">
        <v>29</v>
      </c>
      <c r="B1444" s="4" t="s">
        <v>35</v>
      </c>
      <c r="C1444" s="4" t="s">
        <v>36</v>
      </c>
      <c r="D1444" s="4">
        <v>1092</v>
      </c>
      <c r="E1444" s="4" t="s">
        <v>45</v>
      </c>
      <c r="F1444" s="4">
        <v>1</v>
      </c>
      <c r="G1444" s="4">
        <v>4</v>
      </c>
      <c r="H1444" s="4" t="s">
        <v>51</v>
      </c>
      <c r="I1444" s="4">
        <v>1</v>
      </c>
      <c r="J1444" s="4">
        <v>2027</v>
      </c>
      <c r="K1444" s="4">
        <v>1</v>
      </c>
      <c r="L1444" s="4" t="s">
        <v>46</v>
      </c>
      <c r="M1444" s="4">
        <v>36</v>
      </c>
      <c r="N1444" s="4">
        <v>3</v>
      </c>
      <c r="O1444" s="4">
        <v>1</v>
      </c>
      <c r="P1444" s="4" t="s">
        <v>47</v>
      </c>
      <c r="Q1444" s="4">
        <v>4</v>
      </c>
      <c r="R1444" s="4" t="s">
        <v>48</v>
      </c>
      <c r="S1444" s="4">
        <v>4787</v>
      </c>
      <c r="T1444" s="4">
        <v>26124</v>
      </c>
      <c r="U1444" s="4">
        <v>9</v>
      </c>
      <c r="V1444" s="4" t="s">
        <v>42</v>
      </c>
      <c r="W1444" s="4" t="s">
        <v>35</v>
      </c>
      <c r="X1444" s="4">
        <v>14</v>
      </c>
      <c r="Y1444" s="4">
        <v>3</v>
      </c>
      <c r="Z1444" s="4">
        <v>2</v>
      </c>
      <c r="AA1444" s="4">
        <v>80</v>
      </c>
      <c r="AB1444" s="4">
        <v>3</v>
      </c>
      <c r="AC1444" s="4">
        <v>4</v>
      </c>
      <c r="AD1444" s="4">
        <v>3</v>
      </c>
      <c r="AE1444" s="4">
        <v>4</v>
      </c>
      <c r="AF1444" s="4">
        <v>2</v>
      </c>
      <c r="AG1444" s="4">
        <v>2</v>
      </c>
      <c r="AH1444" s="4">
        <v>2</v>
      </c>
      <c r="AI1444" s="4">
        <v>2</v>
      </c>
      <c r="AJ1444" s="4"/>
      <c r="AK1444" s="4"/>
      <c r="AL1444" s="4"/>
      <c r="AM1444" s="4"/>
      <c r="AN1444" s="4"/>
      <c r="AO1444" s="4"/>
    </row>
    <row r="1445" spans="1:41" hidden="1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41" hidden="1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41" hidden="1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41" hidden="1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41" hidden="1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41" hidden="1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41" hidden="1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41" x14ac:dyDescent="0.3">
      <c r="A1452" s="4">
        <v>35</v>
      </c>
      <c r="B1452" s="4" t="s">
        <v>43</v>
      </c>
      <c r="C1452" s="4" t="s">
        <v>36</v>
      </c>
      <c r="D1452" s="4">
        <v>1146</v>
      </c>
      <c r="E1452" s="4" t="s">
        <v>61</v>
      </c>
      <c r="F1452" s="4">
        <v>26</v>
      </c>
      <c r="G1452" s="4">
        <v>4</v>
      </c>
      <c r="H1452" s="4" t="s">
        <v>38</v>
      </c>
      <c r="I1452" s="4">
        <v>1</v>
      </c>
      <c r="J1452" s="4">
        <v>2040</v>
      </c>
      <c r="K1452" s="4">
        <v>3</v>
      </c>
      <c r="L1452" s="4" t="s">
        <v>39</v>
      </c>
      <c r="M1452" s="4">
        <v>31</v>
      </c>
      <c r="N1452" s="4">
        <v>3</v>
      </c>
      <c r="O1452" s="4">
        <v>3</v>
      </c>
      <c r="P1452" s="4" t="s">
        <v>61</v>
      </c>
      <c r="Q1452" s="4">
        <v>4</v>
      </c>
      <c r="R1452" s="4" t="s">
        <v>41</v>
      </c>
      <c r="S1452" s="4">
        <v>8837</v>
      </c>
      <c r="T1452" s="4">
        <v>16642</v>
      </c>
      <c r="U1452" s="4">
        <v>1</v>
      </c>
      <c r="V1452" s="4" t="s">
        <v>42</v>
      </c>
      <c r="W1452" s="4" t="s">
        <v>35</v>
      </c>
      <c r="X1452" s="4">
        <v>16</v>
      </c>
      <c r="Y1452" s="4">
        <v>3</v>
      </c>
      <c r="Z1452" s="4">
        <v>3</v>
      </c>
      <c r="AA1452" s="4">
        <v>80</v>
      </c>
      <c r="AB1452" s="4">
        <v>0</v>
      </c>
      <c r="AC1452" s="4">
        <v>9</v>
      </c>
      <c r="AD1452" s="4">
        <v>2</v>
      </c>
      <c r="AE1452" s="4">
        <v>3</v>
      </c>
      <c r="AF1452" s="4">
        <v>9</v>
      </c>
      <c r="AG1452" s="4">
        <v>0</v>
      </c>
      <c r="AH1452" s="4">
        <v>1</v>
      </c>
      <c r="AI1452" s="4">
        <v>7</v>
      </c>
      <c r="AJ1452" s="4"/>
      <c r="AK1452" s="4"/>
      <c r="AL1452" s="4"/>
      <c r="AM1452" s="4"/>
      <c r="AN1452" s="4"/>
      <c r="AO1452" s="4"/>
    </row>
    <row r="1453" spans="1:41" hidden="1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41" hidden="1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41" hidden="1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41" hidden="1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41" hidden="1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41" x14ac:dyDescent="0.3">
      <c r="A1458" s="4">
        <v>35</v>
      </c>
      <c r="B1458" s="4" t="s">
        <v>43</v>
      </c>
      <c r="C1458" s="4" t="s">
        <v>44</v>
      </c>
      <c r="D1458" s="4">
        <v>1199</v>
      </c>
      <c r="E1458" s="4" t="s">
        <v>45</v>
      </c>
      <c r="F1458" s="4">
        <v>18</v>
      </c>
      <c r="G1458" s="4">
        <v>4</v>
      </c>
      <c r="H1458" s="4" t="s">
        <v>38</v>
      </c>
      <c r="I1458" s="4">
        <v>1</v>
      </c>
      <c r="J1458" s="4">
        <v>2049</v>
      </c>
      <c r="K1458" s="4">
        <v>3</v>
      </c>
      <c r="L1458" s="4" t="s">
        <v>46</v>
      </c>
      <c r="M1458" s="4">
        <v>80</v>
      </c>
      <c r="N1458" s="4">
        <v>3</v>
      </c>
      <c r="O1458" s="4">
        <v>2</v>
      </c>
      <c r="P1458" s="4" t="s">
        <v>54</v>
      </c>
      <c r="Q1458" s="4">
        <v>3</v>
      </c>
      <c r="R1458" s="4" t="s">
        <v>48</v>
      </c>
      <c r="S1458" s="4">
        <v>5689</v>
      </c>
      <c r="T1458" s="4">
        <v>24594</v>
      </c>
      <c r="U1458" s="4">
        <v>1</v>
      </c>
      <c r="V1458" s="4" t="s">
        <v>42</v>
      </c>
      <c r="W1458" s="4" t="s">
        <v>35</v>
      </c>
      <c r="X1458" s="4">
        <v>14</v>
      </c>
      <c r="Y1458" s="4">
        <v>3</v>
      </c>
      <c r="Z1458" s="4">
        <v>4</v>
      </c>
      <c r="AA1458" s="4">
        <v>80</v>
      </c>
      <c r="AB1458" s="4">
        <v>2</v>
      </c>
      <c r="AC1458" s="4">
        <v>10</v>
      </c>
      <c r="AD1458" s="4">
        <v>2</v>
      </c>
      <c r="AE1458" s="4">
        <v>4</v>
      </c>
      <c r="AF1458" s="4">
        <v>10</v>
      </c>
      <c r="AG1458" s="4">
        <v>2</v>
      </c>
      <c r="AH1458" s="4">
        <v>0</v>
      </c>
      <c r="AI1458" s="4">
        <v>2</v>
      </c>
      <c r="AJ1458" s="4"/>
      <c r="AK1458" s="4"/>
      <c r="AL1458" s="4"/>
      <c r="AM1458" s="4"/>
      <c r="AN1458" s="4"/>
      <c r="AO1458" s="4"/>
    </row>
    <row r="1459" spans="1:41" hidden="1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41" hidden="1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41" x14ac:dyDescent="0.3">
      <c r="A1461" s="4">
        <v>29</v>
      </c>
      <c r="B1461" s="4" t="s">
        <v>43</v>
      </c>
      <c r="C1461" s="4" t="s">
        <v>36</v>
      </c>
      <c r="D1461" s="4">
        <v>1378</v>
      </c>
      <c r="E1461" s="4" t="s">
        <v>45</v>
      </c>
      <c r="F1461" s="4">
        <v>13</v>
      </c>
      <c r="G1461" s="4">
        <v>2</v>
      </c>
      <c r="H1461" s="4" t="s">
        <v>49</v>
      </c>
      <c r="I1461" s="4">
        <v>1</v>
      </c>
      <c r="J1461" s="4">
        <v>2053</v>
      </c>
      <c r="K1461" s="4">
        <v>4</v>
      </c>
      <c r="L1461" s="4" t="s">
        <v>46</v>
      </c>
      <c r="M1461" s="4">
        <v>46</v>
      </c>
      <c r="N1461" s="4">
        <v>2</v>
      </c>
      <c r="O1461" s="4">
        <v>2</v>
      </c>
      <c r="P1461" s="4" t="s">
        <v>50</v>
      </c>
      <c r="Q1461" s="4">
        <v>2</v>
      </c>
      <c r="R1461" s="4" t="s">
        <v>48</v>
      </c>
      <c r="S1461" s="4">
        <v>4025</v>
      </c>
      <c r="T1461" s="4">
        <v>23679</v>
      </c>
      <c r="U1461" s="4">
        <v>4</v>
      </c>
      <c r="V1461" s="4" t="s">
        <v>42</v>
      </c>
      <c r="W1461" s="4" t="s">
        <v>35</v>
      </c>
      <c r="X1461" s="4">
        <v>13</v>
      </c>
      <c r="Y1461" s="4">
        <v>3</v>
      </c>
      <c r="Z1461" s="4">
        <v>1</v>
      </c>
      <c r="AA1461" s="4">
        <v>80</v>
      </c>
      <c r="AB1461" s="4">
        <v>1</v>
      </c>
      <c r="AC1461" s="4">
        <v>10</v>
      </c>
      <c r="AD1461" s="4">
        <v>2</v>
      </c>
      <c r="AE1461" s="4">
        <v>3</v>
      </c>
      <c r="AF1461" s="4">
        <v>4</v>
      </c>
      <c r="AG1461" s="4">
        <v>3</v>
      </c>
      <c r="AH1461" s="4">
        <v>0</v>
      </c>
      <c r="AI1461" s="4">
        <v>3</v>
      </c>
      <c r="AJ1461" s="4"/>
      <c r="AK1461" s="4"/>
      <c r="AL1461" s="4"/>
      <c r="AM1461" s="4"/>
      <c r="AN1461" s="4"/>
      <c r="AO1461" s="4"/>
    </row>
    <row r="1462" spans="1:41" hidden="1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41" x14ac:dyDescent="0.3">
      <c r="A1463" s="4">
        <v>50</v>
      </c>
      <c r="B1463" s="4" t="s">
        <v>35</v>
      </c>
      <c r="C1463" s="4" t="s">
        <v>36</v>
      </c>
      <c r="D1463" s="4">
        <v>410</v>
      </c>
      <c r="E1463" s="4" t="s">
        <v>37</v>
      </c>
      <c r="F1463" s="4">
        <v>28</v>
      </c>
      <c r="G1463" s="4">
        <v>3</v>
      </c>
      <c r="H1463" s="4" t="s">
        <v>59</v>
      </c>
      <c r="I1463" s="4">
        <v>1</v>
      </c>
      <c r="J1463" s="4">
        <v>2055</v>
      </c>
      <c r="K1463" s="4">
        <v>4</v>
      </c>
      <c r="L1463" s="4" t="s">
        <v>46</v>
      </c>
      <c r="M1463" s="4">
        <v>39</v>
      </c>
      <c r="N1463" s="4">
        <v>2</v>
      </c>
      <c r="O1463" s="4">
        <v>3</v>
      </c>
      <c r="P1463" s="4" t="s">
        <v>40</v>
      </c>
      <c r="Q1463" s="4">
        <v>1</v>
      </c>
      <c r="R1463" s="4" t="s">
        <v>52</v>
      </c>
      <c r="S1463" s="4">
        <v>10854</v>
      </c>
      <c r="T1463" s="4">
        <v>16586</v>
      </c>
      <c r="U1463" s="4">
        <v>4</v>
      </c>
      <c r="V1463" s="4" t="s">
        <v>42</v>
      </c>
      <c r="W1463" s="4" t="s">
        <v>35</v>
      </c>
      <c r="X1463" s="4">
        <v>13</v>
      </c>
      <c r="Y1463" s="4">
        <v>3</v>
      </c>
      <c r="Z1463" s="4">
        <v>2</v>
      </c>
      <c r="AA1463" s="4">
        <v>80</v>
      </c>
      <c r="AB1463" s="4">
        <v>1</v>
      </c>
      <c r="AC1463" s="4">
        <v>20</v>
      </c>
      <c r="AD1463" s="4">
        <v>3</v>
      </c>
      <c r="AE1463" s="4">
        <v>3</v>
      </c>
      <c r="AF1463" s="4">
        <v>3</v>
      </c>
      <c r="AG1463" s="4">
        <v>2</v>
      </c>
      <c r="AH1463" s="4">
        <v>2</v>
      </c>
      <c r="AI1463" s="4">
        <v>0</v>
      </c>
      <c r="AJ1463" s="4"/>
      <c r="AK1463" s="4"/>
      <c r="AL1463" s="4"/>
      <c r="AM1463" s="4"/>
      <c r="AN1463" s="4"/>
      <c r="AO1463" s="4"/>
    </row>
    <row r="1464" spans="1:41" hidden="1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41" hidden="1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41" hidden="1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41" hidden="1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41" hidden="1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41" x14ac:dyDescent="0.3">
      <c r="A1469" s="4">
        <v>27</v>
      </c>
      <c r="B1469" s="4" t="s">
        <v>43</v>
      </c>
      <c r="C1469" s="4" t="s">
        <v>36</v>
      </c>
      <c r="D1469" s="4">
        <v>155</v>
      </c>
      <c r="E1469" s="4" t="s">
        <v>45</v>
      </c>
      <c r="F1469" s="4">
        <v>4</v>
      </c>
      <c r="G1469" s="4">
        <v>3</v>
      </c>
      <c r="H1469" s="4" t="s">
        <v>38</v>
      </c>
      <c r="I1469" s="4">
        <v>1</v>
      </c>
      <c r="J1469" s="4">
        <v>2064</v>
      </c>
      <c r="K1469" s="4">
        <v>2</v>
      </c>
      <c r="L1469" s="4" t="s">
        <v>46</v>
      </c>
      <c r="M1469" s="4">
        <v>87</v>
      </c>
      <c r="N1469" s="4">
        <v>4</v>
      </c>
      <c r="O1469" s="4">
        <v>2</v>
      </c>
      <c r="P1469" s="4" t="s">
        <v>53</v>
      </c>
      <c r="Q1469" s="4">
        <v>2</v>
      </c>
      <c r="R1469" s="4" t="s">
        <v>48</v>
      </c>
      <c r="S1469" s="4">
        <v>6142</v>
      </c>
      <c r="T1469" s="4">
        <v>5174</v>
      </c>
      <c r="U1469" s="4">
        <v>1</v>
      </c>
      <c r="V1469" s="4" t="s">
        <v>42</v>
      </c>
      <c r="W1469" s="4" t="s">
        <v>35</v>
      </c>
      <c r="X1469" s="4">
        <v>20</v>
      </c>
      <c r="Y1469" s="4">
        <v>4</v>
      </c>
      <c r="Z1469" s="4">
        <v>2</v>
      </c>
      <c r="AA1469" s="4">
        <v>80</v>
      </c>
      <c r="AB1469" s="4">
        <v>1</v>
      </c>
      <c r="AC1469" s="4">
        <v>6</v>
      </c>
      <c r="AD1469" s="4">
        <v>0</v>
      </c>
      <c r="AE1469" s="4">
        <v>3</v>
      </c>
      <c r="AF1469" s="4">
        <v>6</v>
      </c>
      <c r="AG1469" s="4">
        <v>2</v>
      </c>
      <c r="AH1469" s="4">
        <v>0</v>
      </c>
      <c r="AI1469" s="4">
        <v>3</v>
      </c>
      <c r="AJ1469" s="4"/>
      <c r="AK1469" s="4"/>
      <c r="AL1469" s="4"/>
      <c r="AM1469" s="4"/>
      <c r="AN1469" s="4"/>
      <c r="AO1469" s="4"/>
    </row>
    <row r="1470" spans="1:41" hidden="1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41" hidden="1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autoFilter ref="A1:AL1471" xr:uid="{1D45FF2B-AEBB-48FF-B1D5-07F70E9E3799}">
    <filterColumn colId="22">
      <filters>
        <filter val="Y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Sagar</dc:creator>
  <cp:lastModifiedBy>Manish Sagar</cp:lastModifiedBy>
  <dcterms:created xsi:type="dcterms:W3CDTF">2025-11-12T13:52:57Z</dcterms:created>
  <dcterms:modified xsi:type="dcterms:W3CDTF">2025-11-12T14:23:38Z</dcterms:modified>
</cp:coreProperties>
</file>